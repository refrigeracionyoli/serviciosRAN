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heiway-my.sharepoint.com/personal/campoa24_heiway_net/Documents/Proveedores/FORMATOS/"/>
    </mc:Choice>
  </mc:AlternateContent>
  <xr:revisionPtr revIDLastSave="0" documentId="8_{51E7E088-EC9D-41B3-AA8C-2F9584E16D84}" xr6:coauthVersionLast="47" xr6:coauthVersionMax="47" xr10:uidLastSave="{00000000-0000-0000-0000-000000000000}"/>
  <bookViews>
    <workbookView xWindow="-110" yWindow="-110" windowWidth="19420" windowHeight="10300" tabRatio="813" firstSheet="1" activeTab="1" xr2:uid="{00000000-000D-0000-FFFF-FFFF00000000}"/>
  </bookViews>
  <sheets>
    <sheet name="Caratula" sheetId="1" r:id="rId1"/>
    <sheet name="Registro Ordenes" sheetId="2" r:id="rId2"/>
    <sheet name="Registro Refacciones" sheetId="3" r:id="rId3"/>
    <sheet name="Resumen para pago" sheetId="6" r:id="rId4"/>
    <sheet name="Catalogo" sheetId="4" state="hidden" r:id="rId5"/>
    <sheet name="CatPEP" sheetId="7" state="hidden" r:id="rId6"/>
    <sheet name="Sheet2" sheetId="9" state="hidden" r:id="rId7"/>
  </sheets>
  <externalReferences>
    <externalReference r:id="rId8"/>
  </externalReferences>
  <definedNames>
    <definedName name="_xlnm._FilterDatabase" localSheetId="5" hidden="1">CatPEP!$A$1:$E$917</definedName>
    <definedName name="GZ">Table58[GZ]</definedName>
    <definedName name="Orden">Table1[Orden]</definedName>
    <definedName name="Periodo">Table6[Periodo]</definedName>
    <definedName name="_xlnm.Print_Area" localSheetId="0">Caratula!$A$4:$M$25</definedName>
    <definedName name="Tipo_de_Servicio">Table2[Tipo de Servicio]</definedName>
    <definedName name="TipoServicioColumn">Table2[[#All],[Servicio]]</definedName>
    <definedName name="TipoServicioStar">Table2[[#Headers],[Servicio]]</definedName>
  </definedNames>
  <calcPr calcId="191028"/>
  <pivotCaches>
    <pivotCache cacheId="70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5CB5E7-4081-4561-9CAA-05921481A39F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<sst xmlns="http://schemas.openxmlformats.org/spreadsheetml/2006/main" count="4638" uniqueCount="302">
  <si>
    <t>MttoEF</t>
  </si>
  <si>
    <t>Solicitud -Pago a Proveedores de Servicio - Semanal</t>
  </si>
  <si>
    <t>Mantenimiento  -  Equipo Frío</t>
  </si>
  <si>
    <t>Instalación / Retiro  -  Equipo Frío</t>
  </si>
  <si>
    <t>Número Proveedor</t>
  </si>
  <si>
    <t>GZ</t>
  </si>
  <si>
    <t>TAMAULIPAS SUR-VER NTE</t>
  </si>
  <si>
    <t>Periodo - Semana</t>
  </si>
  <si>
    <t>S1926</t>
  </si>
  <si>
    <t>Inicio</t>
  </si>
  <si>
    <t>Fin</t>
  </si>
  <si>
    <t>v1.0</t>
  </si>
  <si>
    <t>Proveedor</t>
  </si>
  <si>
    <t>Periodo</t>
  </si>
  <si>
    <t>SelGZ</t>
  </si>
  <si>
    <t>Tipo de Servicio</t>
  </si>
  <si>
    <t>PEP</t>
  </si>
  <si>
    <t>Nombre el PEP</t>
  </si>
  <si>
    <t>Aviso</t>
  </si>
  <si>
    <t>Orden</t>
  </si>
  <si>
    <t>Cliente</t>
  </si>
  <si>
    <t>Equipo</t>
  </si>
  <si>
    <t>Serie</t>
  </si>
  <si>
    <t>Fecha Cierre</t>
  </si>
  <si>
    <t>Costo Servicio</t>
  </si>
  <si>
    <t>Refacciones</t>
  </si>
  <si>
    <t>Total</t>
  </si>
  <si>
    <t>Comentarios</t>
  </si>
  <si>
    <t>COMPRA TANQUE CO2 - BARRIL</t>
  </si>
  <si>
    <t>MTTO CORRECTIVO RUTA - BARRIL</t>
  </si>
  <si>
    <t>FLETE MOV GZ A GZ - ENFRIADOR</t>
  </si>
  <si>
    <t>FLETES-TALLER - MOVIMIENTOS</t>
  </si>
  <si>
    <t>INSTALACION - ENFRIADOR</t>
  </si>
  <si>
    <t>Orden de Servicio</t>
  </si>
  <si>
    <t>Nombre PEP</t>
  </si>
  <si>
    <t>Refacción</t>
  </si>
  <si>
    <t>Cantidad</t>
  </si>
  <si>
    <t>Precio Unitario</t>
  </si>
  <si>
    <t>Precio Total</t>
  </si>
  <si>
    <t>REFACCIONES - MAQUINA HIELO</t>
  </si>
  <si>
    <t>FILTROS</t>
  </si>
  <si>
    <t>REFACCIONES - ENFRIADOR</t>
  </si>
  <si>
    <t>(blank)</t>
  </si>
  <si>
    <t>Sum of Total</t>
  </si>
  <si>
    <t>M/MXCM/26/CG1J/C2/815/01</t>
  </si>
  <si>
    <t>MOVIMIENTOS</t>
  </si>
  <si>
    <t>M/MXCM/26/CG1J/C2/815/02</t>
  </si>
  <si>
    <t>MTTO BARRIL</t>
  </si>
  <si>
    <t/>
  </si>
  <si>
    <t>M/MXCM/26/GA6B/C6/815/03</t>
  </si>
  <si>
    <t>MOVIMIENTOS FLETES NAC</t>
  </si>
  <si>
    <t>Grand Total</t>
  </si>
  <si>
    <t>Column1</t>
  </si>
  <si>
    <t>Servicio</t>
  </si>
  <si>
    <t>Tipo de Equipo</t>
  </si>
  <si>
    <t>Fecha</t>
  </si>
  <si>
    <t>Semana</t>
  </si>
  <si>
    <t>Año</t>
  </si>
  <si>
    <t>MTTO CORRECTIVO RUTA</t>
  </si>
  <si>
    <t>Mtto</t>
  </si>
  <si>
    <t>ENFRIADOR</t>
  </si>
  <si>
    <t>AGS-ZAC-SLP</t>
  </si>
  <si>
    <t>MTTO CORRECTIVO PISO</t>
  </si>
  <si>
    <t>MAQUINA HIELO</t>
  </si>
  <si>
    <t>BCN</t>
  </si>
  <si>
    <t>MTTO PREVENTIVO RUTA</t>
  </si>
  <si>
    <t>BARRIL</t>
  </si>
  <si>
    <t>BCS</t>
  </si>
  <si>
    <t>INSTALACION</t>
  </si>
  <si>
    <t>CUARTO FRIO</t>
  </si>
  <si>
    <t>CHIHUAHUA</t>
  </si>
  <si>
    <t>RETIRO</t>
  </si>
  <si>
    <t>COAHUILA</t>
  </si>
  <si>
    <t>DURANGO</t>
  </si>
  <si>
    <t>EDO DE MEXICO</t>
  </si>
  <si>
    <t>FRANQUICIA CHIAPAS</t>
  </si>
  <si>
    <t>QRO-GTO</t>
  </si>
  <si>
    <t>GRO-MOR</t>
  </si>
  <si>
    <t>Movimientos</t>
  </si>
  <si>
    <t>HIDALGO</t>
  </si>
  <si>
    <t>JALISCO-COLIMA-NAYARIT</t>
  </si>
  <si>
    <t>JUAREZ</t>
  </si>
  <si>
    <t>MICHOACAN</t>
  </si>
  <si>
    <t>NUEVO LEON</t>
  </si>
  <si>
    <t>OAXACA</t>
  </si>
  <si>
    <t>PUEBLA-TLAXCALA</t>
  </si>
  <si>
    <t>QROO</t>
  </si>
  <si>
    <t>RECARGA CO2</t>
  </si>
  <si>
    <t>SINALOA</t>
  </si>
  <si>
    <t>PRIMERA POSICION</t>
  </si>
  <si>
    <t>SONORA</t>
  </si>
  <si>
    <t>SERVICIO EXPRESS PISO</t>
  </si>
  <si>
    <t>TABASCO-VER SUR</t>
  </si>
  <si>
    <t>FLETE MOV GZ A GZ</t>
  </si>
  <si>
    <t>TAMAULIPAS NORTE</t>
  </si>
  <si>
    <t>FLETE MOV GZ  A GZ</t>
  </si>
  <si>
    <t>VDM</t>
  </si>
  <si>
    <t>MOBILIARIO</t>
  </si>
  <si>
    <t>VERACRUZ CENTRO</t>
  </si>
  <si>
    <t>VISIBILIDAD</t>
  </si>
  <si>
    <t>YUCAM</t>
  </si>
  <si>
    <t>FLETE MOV CEDIS A CEDIS</t>
  </si>
  <si>
    <t>REFACCIONES - BARRIL</t>
  </si>
  <si>
    <t>DOOR TO DOOR</t>
  </si>
  <si>
    <t>ALMACENAMIENTO</t>
  </si>
  <si>
    <t>REFACCIONES - CUARTO FRIO</t>
  </si>
  <si>
    <t>REFACCIONES</t>
  </si>
  <si>
    <t>COMPRA TANQUE CO2</t>
  </si>
  <si>
    <t>INST ENFRIADOR SIX BASE</t>
  </si>
  <si>
    <t>INST MH SIX BASE</t>
  </si>
  <si>
    <t>INST-CC</t>
  </si>
  <si>
    <t>INST-CM</t>
  </si>
  <si>
    <t>INST-PV</t>
  </si>
  <si>
    <t>INST-SIX</t>
  </si>
  <si>
    <t>RET-CC</t>
  </si>
  <si>
    <t>RET-CM</t>
  </si>
  <si>
    <t>RET-PV</t>
  </si>
  <si>
    <t>RET-SIX</t>
  </si>
  <si>
    <t>FLETES-TALLER</t>
  </si>
  <si>
    <t>CONCAT</t>
  </si>
  <si>
    <t>Objeto</t>
  </si>
  <si>
    <t>Iniciativa</t>
  </si>
  <si>
    <t xml:space="preserve">TIPO DE SERVICIO </t>
  </si>
  <si>
    <t>Tipo Servicio</t>
  </si>
  <si>
    <t>REGION</t>
  </si>
  <si>
    <t>M/MXCM/26/CGC3/C2/815/01</t>
  </si>
  <si>
    <t xml:space="preserve">BARRIL CO2 </t>
  </si>
  <si>
    <t>M/MXCM/26/CGC3/C2/815/02</t>
  </si>
  <si>
    <t>MTTO MAQUINA HIELO</t>
  </si>
  <si>
    <t>MTTO CORRECTIVO RUTA - MAQUINA HIELO</t>
  </si>
  <si>
    <t>M/MXCM/26/CGC3/C2/815/03</t>
  </si>
  <si>
    <t>M/MXCM/26/CGC3/C2/815/04</t>
  </si>
  <si>
    <t>MTTO ENFRIADORES</t>
  </si>
  <si>
    <t>RUTA</t>
  </si>
  <si>
    <t>MTTO CORRECTIVO RUTA - ENFRIADOR</t>
  </si>
  <si>
    <t xml:space="preserve"> PISO</t>
  </si>
  <si>
    <t>MTTO CORRECTIVO PISO - ENFRIADOR</t>
  </si>
  <si>
    <t>M/MXCM/26/CGC3/C2/815/05</t>
  </si>
  <si>
    <t>M/MXCM/26/CC4D/C1/815/01</t>
  </si>
  <si>
    <t>1. Northwest</t>
  </si>
  <si>
    <t>M/MXCM/26/CC4D/C1/815/02</t>
  </si>
  <si>
    <t>M/MXCM/26/CC4D/C1/815/03</t>
  </si>
  <si>
    <t>MTTO CUARTO FRÍO</t>
  </si>
  <si>
    <t>MTTO CORRECTIVO RUTA - CUARTO FRIO</t>
  </si>
  <si>
    <t>M/MXCM/26/CC4D/C1/815/04</t>
  </si>
  <si>
    <t>M/MXCM/26/CC4D/C1/815/05</t>
  </si>
  <si>
    <t>M/MXCM/26/CHO8/C1/815/01</t>
  </si>
  <si>
    <t>M/MXCM/26/CHO8/C1/815/02</t>
  </si>
  <si>
    <t>M/MXCM/26/CHO8/C1/815/03</t>
  </si>
  <si>
    <t>M/MXCM/26/CHO8/C1/815/04</t>
  </si>
  <si>
    <t>M/MXCM/26/CHO8/C1/815/05</t>
  </si>
  <si>
    <t>M/MXCM/26/CHO8/C1/815/06</t>
  </si>
  <si>
    <t>M/MXCM/26/CCH7/C1/815/01</t>
  </si>
  <si>
    <t>M/MXCM/26/CCH7/C1/815/02</t>
  </si>
  <si>
    <t>M/MXCM/26/CCH7/C1/815/03</t>
  </si>
  <si>
    <t>M/MXCM/26/CCH7/C1/815/04</t>
  </si>
  <si>
    <t>M/MXCM/26/CCH7/C1/815/05</t>
  </si>
  <si>
    <t>M/MXCM/26/CCH7/C1/815/06</t>
  </si>
  <si>
    <t>M/MXCM/26/CC3L/C1/815/01</t>
  </si>
  <si>
    <t>M/MXCM/26/CC3L/C1/815/02</t>
  </si>
  <si>
    <t>M/MXCM/26/CC3L/C1/815/03</t>
  </si>
  <si>
    <t>M/MXCM/26/CC3L/C1/815/04</t>
  </si>
  <si>
    <t>M/MXCM/26/CC3L/C1/815/05</t>
  </si>
  <si>
    <t>M/MXCM/26/CC3L/C1/815/06</t>
  </si>
  <si>
    <t>M/MXCM/26/CCS3/C1/815/01</t>
  </si>
  <si>
    <t>M/MXCM/26/CCS3/C1/815/02</t>
  </si>
  <si>
    <t>M/MXCM/26/CCS3/C1/815/03</t>
  </si>
  <si>
    <t>M/MXCM/26/CCS3/C1/815/04</t>
  </si>
  <si>
    <t>M/MXCM/26/CCS3/C1/815/05</t>
  </si>
  <si>
    <t>M/MXCM/26/CCS3/C1/815/06</t>
  </si>
  <si>
    <t>M/MXCM/26/CC9C/C1/815/01</t>
  </si>
  <si>
    <t>M/MXCM/26/CC9C/C1/815/02</t>
  </si>
  <si>
    <t>M/MXCM/26/CC9C/C1/815/03</t>
  </si>
  <si>
    <t>M/MXCM/26/CC9C/C1/815/04</t>
  </si>
  <si>
    <t>M/MXCM/26/CC9C/C1/815/05</t>
  </si>
  <si>
    <t>M/MXCM/26/CC7Y/C5/815/01</t>
  </si>
  <si>
    <t>5. Southeast</t>
  </si>
  <si>
    <t>M/MXCM/26/CC7Y/C5/815/02</t>
  </si>
  <si>
    <t>M/MXCM/26/CC7Y/C5/815/03</t>
  </si>
  <si>
    <t>M/MXCM/26/CC7Y/C5/815/04</t>
  </si>
  <si>
    <t>M/MXCM/26/CD0M/C4/815/01</t>
  </si>
  <si>
    <t>M/MXCM/26/CD0M/C4/815/02</t>
  </si>
  <si>
    <t>M/MXCM/26/CD0M/C4/815/03</t>
  </si>
  <si>
    <t>M/MXCM/26/CD0M/C4/815/04</t>
  </si>
  <si>
    <t>M/MXCM/26/CD3T/C5/815/01</t>
  </si>
  <si>
    <t>M/MXCM/26/CD3T/C5/815/02</t>
  </si>
  <si>
    <t>M/MXCM/26/CD3T/C5/815/03</t>
  </si>
  <si>
    <t>M/MXCM/26/CD3T/C5/815/04</t>
  </si>
  <si>
    <t>M/MXCM/26/CD6D/C5/815/01</t>
  </si>
  <si>
    <t>M/MXCM/26/CD6D/C5/815/02</t>
  </si>
  <si>
    <t>M/MXCM/26/CD6D/C5/815/03</t>
  </si>
  <si>
    <t>M/MXCM/26/CD6D/C5/815/04</t>
  </si>
  <si>
    <t>M/MXCM/26/CD7Q/C4/815/01</t>
  </si>
  <si>
    <t>M/MXCM/26/CD7Q/C4/815/02</t>
  </si>
  <si>
    <t>M/MXCM/26/CD7Q/C4/815/03</t>
  </si>
  <si>
    <t>M/MXCM/26/CD7Q/C4/815/04</t>
  </si>
  <si>
    <t>M/MXCM/26/CD7F/C5/815/01</t>
  </si>
  <si>
    <t>M/MXCM/26/CD7F/C5/815/02</t>
  </si>
  <si>
    <t>M/MXCM/26/CD7F/C5/815/03</t>
  </si>
  <si>
    <t>M/MXCM/26/CD7F/C5/815/04</t>
  </si>
  <si>
    <t>M/MXCM/26/CE0P/C4/815/01</t>
  </si>
  <si>
    <t>4. Center</t>
  </si>
  <si>
    <t>M/MXCM/26/CE0P/C4/815/02</t>
  </si>
  <si>
    <t>M/MXCM/26/CE0P/C4/815/03</t>
  </si>
  <si>
    <t>M/MXCM/26/CE0P/C4/815/04</t>
  </si>
  <si>
    <t>M/MXCM/26/CE5E/C4/815/01</t>
  </si>
  <si>
    <t>M/MXCM/26/CE5E/C4/815/02</t>
  </si>
  <si>
    <t>M/MXCM/26/CE5E/C4/815/03</t>
  </si>
  <si>
    <t>M/MXCM/26/CE5E/C4/815/04</t>
  </si>
  <si>
    <t>M/MXCM/26/CE6K/C5/815/01</t>
  </si>
  <si>
    <t>M/MXCM/26/CE6W/C4/815/01</t>
  </si>
  <si>
    <t>M/MXCM/26/CE6W/C4/815/02</t>
  </si>
  <si>
    <t>M/MXCM/26/CE6W/C4/815/03</t>
  </si>
  <si>
    <t>M/MXCM/26/CE6W/C4/815/04</t>
  </si>
  <si>
    <t>M/MXCM/26/CEH0/C5/815/01</t>
  </si>
  <si>
    <t>M/MXCM/26/CEH0/C5/815/02</t>
  </si>
  <si>
    <t>M/MXCM/26/CEH0/C5/815/03</t>
  </si>
  <si>
    <t>M/MXCM/26/CEH0/C5/815/04</t>
  </si>
  <si>
    <t>M/MXCM/26/CF9D/C3/815/01</t>
  </si>
  <si>
    <t>3. West</t>
  </si>
  <si>
    <t>M/MXCM/26/CF9D/C3/815/02</t>
  </si>
  <si>
    <t>M/MXCM/26/CF9D/C3/815/03</t>
  </si>
  <si>
    <t>M/MXCM/26/CF9D/C3/815/04</t>
  </si>
  <si>
    <t>M/MXCM/26/CF3G/C3/815/01</t>
  </si>
  <si>
    <t>M/MXCM/26/CF3G/C3/815/02</t>
  </si>
  <si>
    <t>M/MXCM/26/CF3G/C3/815/03</t>
  </si>
  <si>
    <t>M/MXCM/26/CF3G/C3/815/04</t>
  </si>
  <si>
    <t>M/MXCM/26/CF3G/C3/815/05</t>
  </si>
  <si>
    <t>M/MXCM/26/CF0O/C3/815/01</t>
  </si>
  <si>
    <t>M/MXCM/26/CF0O/C3/815/02</t>
  </si>
  <si>
    <t>M/MXCM/26/CF0O/C3/815/03</t>
  </si>
  <si>
    <t>M/MXCM/26/CF0O/C3/815/04</t>
  </si>
  <si>
    <t>M/MXCM/26/CFZ8/C2/815/01</t>
  </si>
  <si>
    <t>M/MXCM/26/CFZ8/C2/815/02</t>
  </si>
  <si>
    <t>M/MXCM/26/CFZ8/C2/815/03</t>
  </si>
  <si>
    <t>M/MXCM/26/CFZ8/C2/815/04</t>
  </si>
  <si>
    <t>M/MXCM/26/CFZ8/C2/815/05</t>
  </si>
  <si>
    <t>M/MXCM/26/CG1J/C2/815/03</t>
  </si>
  <si>
    <t>M/MXCM/26/CG1J/C2/815/04</t>
  </si>
  <si>
    <t>M/MXCM/26/CG7L/C2/815/01</t>
  </si>
  <si>
    <t>2. Northeast</t>
  </si>
  <si>
    <t>M/MXCM/26/CG7L/C2/815/02</t>
  </si>
  <si>
    <t>M/MXCM/26/CG7L/C2/815/03</t>
  </si>
  <si>
    <t>M/MXCM/26/CG7L/C2/815/04</t>
  </si>
  <si>
    <t>M/MXCM/26/CG7L/C2/815/05</t>
  </si>
  <si>
    <t>M/MXCM/26/CGF2/C2/815/01</t>
  </si>
  <si>
    <t>M/MXCM/26/CGF2/C2/815/02</t>
  </si>
  <si>
    <t>M/MXCM/26/CGF2/C2/815/03</t>
  </si>
  <si>
    <t>M/MXCM/26/CGF2/C2/815/04</t>
  </si>
  <si>
    <t>STAFF_TRADE</t>
  </si>
  <si>
    <t>M/MXCM/26/GA6B/C6/815/01</t>
  </si>
  <si>
    <t>MOVIMIENTOS DISP FINAL</t>
  </si>
  <si>
    <t>M/MXCM/26/CF5I/C3/815/01</t>
  </si>
  <si>
    <t>M/MXCM/26/CF5I/C3/815/02</t>
  </si>
  <si>
    <t>M/MXCM/26/CF5I/C3/815/03</t>
  </si>
  <si>
    <t>M/MXCM/26/CF5I/C3/815/04</t>
  </si>
  <si>
    <t>M/MXCM/26/CF0O/C3/815/05</t>
  </si>
  <si>
    <t>M/MXCM/26/CG7L/C2/815/06</t>
  </si>
  <si>
    <t>M/MXCM/26/CGF2/C2/815/05</t>
  </si>
  <si>
    <t>M/MXCM/26/CEH0/C5/815/05</t>
  </si>
  <si>
    <t>M/MXCM/26/CF3G/C3/815/06</t>
  </si>
  <si>
    <t>M/MXCM/26/CD3T/C5/815/05</t>
  </si>
  <si>
    <t>M/MXCM/26/CD6D/C5/815/05</t>
  </si>
  <si>
    <t>M/MXCM/26/CF9D/C3/815/05</t>
  </si>
  <si>
    <t>M/MXCM/26/CD7F/C5/815/05</t>
  </si>
  <si>
    <t>M/MXCM/26/GA6B/C6/815/04</t>
  </si>
  <si>
    <t>KEY ACCOUNTS</t>
  </si>
  <si>
    <t>M/MXCM/26/GA6B/C6/815/05</t>
  </si>
  <si>
    <t>DOOR TO DOOR - ALMACENAMIENTO</t>
  </si>
  <si>
    <t>FLETE MOV GZ  A GZ - MAQUINA HIELO</t>
  </si>
  <si>
    <t>FLETE MOV GZ A GZ - BARRIL</t>
  </si>
  <si>
    <t>FLETE MOV GZ A GZ - MOBILIARIO</t>
  </si>
  <si>
    <t>FLETE MOV GZ A GZ - VISIBILIDAD</t>
  </si>
  <si>
    <t>RETIRO - ENFRIADOR</t>
  </si>
  <si>
    <t>PRIMERA POSICION - ENFRIADOR</t>
  </si>
  <si>
    <t>SERVICIO EXPRESS PISO - ENFRIADOR</t>
  </si>
  <si>
    <t>MTTO CORRECTIVO PISO - BARRIL</t>
  </si>
  <si>
    <t>MTTO PREVENTIVO RUTA - BARRIL</t>
  </si>
  <si>
    <t>RECARGA CO2 - BARRIL</t>
  </si>
  <si>
    <t>INSTALACION - BARRIL</t>
  </si>
  <si>
    <t>RETIRO - BARRIL</t>
  </si>
  <si>
    <t>MTTO PREVENTIVO RUTA - CUARTO FRIO</t>
  </si>
  <si>
    <t>INSTALACION - CUARTO FRIO</t>
  </si>
  <si>
    <t>RETIRO - CUARTO FRIO</t>
  </si>
  <si>
    <t>INSTALACION - MAQUINA HIELO</t>
  </si>
  <si>
    <t>RETIRO - MAQUINA HIELO</t>
  </si>
  <si>
    <t>MTTO CORRECTIVO PISO - MAQUINA HIELO</t>
  </si>
  <si>
    <t>MTTO PREVENTIVO RUTA - MAQUINA HIELO</t>
  </si>
  <si>
    <t>M/MXCM/26/CCV0/C1/515/01</t>
  </si>
  <si>
    <t xml:space="preserve">DESARROLLO FRIO </t>
  </si>
  <si>
    <t>INST ENFRIADOR SIX BASE - ENFRIADOR</t>
  </si>
  <si>
    <t>INST MH SIX BASE - MAQUINA HIELO</t>
  </si>
  <si>
    <t>M/MXCM/26/CAF1/C2/515/01</t>
  </si>
  <si>
    <t>M/MXCM/26/CFU1/C3/515/01</t>
  </si>
  <si>
    <t>M/MXCM/26/CFY3/C4/515/01</t>
  </si>
  <si>
    <t>M/MXCM/26/CD3J/C5/515/01</t>
  </si>
  <si>
    <t>FLETE MOV CEDIS A CEDIS - ENFRIADOR</t>
  </si>
  <si>
    <t>FLETE MOV CEDIS A CEDIS - MAQUINA HIELO</t>
  </si>
  <si>
    <t>FLETE MOV CEDIS A CEDIS - BARRIL</t>
  </si>
  <si>
    <t>FLETE MOV CEDIS A CEDIS - MOBILIARIO</t>
  </si>
  <si>
    <t>FLETE MOV CEDIS A CEDIS - VISIBILIDAD</t>
  </si>
  <si>
    <t>FLETE MOV 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</si>
</sst>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00824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</cellStyleXfs>
  <cellXfs count="6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2" borderId="3" xfId="0" applyFont="1" applyFill="1" applyBorder="1"/>
    <xf numFmtId="0" fontId="2" fillId="2" borderId="4" xfId="0" applyFont="1" applyFill="1" applyBorder="1"/>
    <xf numFmtId="14" fontId="0" fillId="3" borderId="3" xfId="0" applyNumberFormat="1" applyFill="1" applyBorder="1"/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0" borderId="0" xfId="0" applyFont="1"/>
    <xf numFmtId="0" fontId="0" fillId="0" borderId="5" xfId="0" applyBorder="1"/>
    <xf numFmtId="14" fontId="0" fillId="0" borderId="5" xfId="0" applyNumberFormat="1" applyBorder="1"/>
    <xf numFmtId="14" fontId="0" fillId="0" borderId="1" xfId="0" applyNumberFormat="1" applyBorder="1"/>
    <xf numFmtId="0" fontId="0" fillId="0" borderId="11" xfId="0" applyBorder="1" applyAlignment="1" applyProtection="1">
      <alignment horizontal="center"/>
      <protection locked="0"/>
    </xf>
    <xf numFmtId="0" fontId="5" fillId="0" borderId="0" xfId="2" applyFont="1" applyAlignment="1">
      <alignment horizontal="left"/>
    </xf>
    <xf numFmtId="1" fontId="0" fillId="0" borderId="7" xfId="0" applyNumberFormat="1" applyBorder="1" applyAlignment="1" applyProtection="1">
      <alignment horizontal="center"/>
      <protection locked="0"/>
    </xf>
    <xf numFmtId="17" fontId="0" fillId="0" borderId="9" xfId="0" quotePrefix="1" applyNumberFormat="1" applyBorder="1" applyAlignment="1" applyProtection="1">
      <alignment horizontal="center"/>
      <protection locked="0"/>
    </xf>
    <xf numFmtId="0" fontId="3" fillId="4" borderId="6" xfId="0" applyFont="1" applyFill="1" applyBorder="1"/>
    <xf numFmtId="0" fontId="3" fillId="4" borderId="8" xfId="0" applyFont="1" applyFill="1" applyBorder="1"/>
    <xf numFmtId="0" fontId="3" fillId="4" borderId="10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0" xfId="0" applyNumberFormat="1" applyProtection="1"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64" fontId="0" fillId="0" borderId="0" xfId="1" applyFont="1" applyProtection="1">
      <protection locked="0"/>
    </xf>
    <xf numFmtId="0" fontId="0" fillId="0" borderId="12" xfId="0" applyBorder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3" fillId="0" borderId="0" xfId="0" applyFont="1"/>
    <xf numFmtId="0" fontId="0" fillId="0" borderId="0" xfId="0" pivotButton="1"/>
    <xf numFmtId="164" fontId="0" fillId="0" borderId="0" xfId="0" applyNumberFormat="1"/>
    <xf numFmtId="0" fontId="8" fillId="0" borderId="0" xfId="0" applyFont="1" applyAlignment="1">
      <alignment horizontal="center"/>
    </xf>
    <xf numFmtId="166" fontId="2" fillId="7" borderId="0" xfId="3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0" fillId="8" borderId="0" xfId="0" applyFill="1"/>
    <xf numFmtId="1" fontId="0" fillId="0" borderId="0" xfId="0" applyNumberFormat="1" applyProtection="1">
      <protection locked="0"/>
    </xf>
    <xf numFmtId="17" fontId="0" fillId="0" borderId="0" xfId="0" applyNumberFormat="1" applyProtection="1"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0" fontId="0" fillId="6" borderId="0" xfId="0" applyFill="1" applyAlignment="1" applyProtection="1">
      <alignment horizontal="center"/>
      <protection locked="0"/>
    </xf>
    <xf numFmtId="1" fontId="3" fillId="4" borderId="0" xfId="0" applyNumberFormat="1" applyFont="1" applyFill="1" applyAlignment="1" applyProtection="1">
      <alignment horizontal="center" vertical="center"/>
      <protection locked="0"/>
    </xf>
    <xf numFmtId="14" fontId="3" fillId="4" borderId="0" xfId="0" applyNumberFormat="1" applyFont="1" applyFill="1" applyAlignment="1" applyProtection="1">
      <alignment horizontal="center" vertical="center"/>
      <protection locked="0"/>
    </xf>
    <xf numFmtId="164" fontId="3" fillId="4" borderId="0" xfId="1" applyFont="1" applyFill="1" applyAlignment="1" applyProtection="1">
      <alignment horizontal="center" vertical="center"/>
      <protection locked="0"/>
    </xf>
    <xf numFmtId="164" fontId="3" fillId="5" borderId="0" xfId="1" applyFont="1" applyFill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 applyProtection="1">
      <alignment horizontal="center"/>
      <protection locked="0"/>
    </xf>
    <xf numFmtId="1" fontId="3" fillId="4" borderId="0" xfId="0" applyNumberFormat="1" applyFont="1" applyFill="1" applyAlignment="1" applyProtection="1">
      <alignment horizontal="center"/>
      <protection locked="0"/>
    </xf>
    <xf numFmtId="164" fontId="3" fillId="4" borderId="0" xfId="1" applyFont="1" applyFill="1" applyAlignment="1" applyProtection="1">
      <alignment horizontal="center"/>
      <protection locked="0"/>
    </xf>
    <xf numFmtId="164" fontId="3" fillId="5" borderId="0" xfId="1" applyFont="1" applyFill="1" applyAlignment="1" applyProtection="1">
      <alignment horizontal="center"/>
      <protection locked="0"/>
    </xf>
    <xf numFmtId="17" fontId="0" fillId="9" borderId="14" xfId="0" applyNumberFormat="1" applyFill="1" applyBorder="1" applyProtection="1">
      <protection locked="0"/>
    </xf>
    <xf numFmtId="0" fontId="3" fillId="4" borderId="0" xfId="0" applyFont="1" applyFill="1" applyAlignment="1">
      <alignment horizontal="center"/>
    </xf>
    <xf numFmtId="164" fontId="0" fillId="10" borderId="0" xfId="1" applyFont="1" applyFill="1" applyProtection="1">
      <protection locked="0"/>
    </xf>
    <xf numFmtId="0" fontId="10" fillId="0" borderId="15" xfId="0" applyFont="1" applyBorder="1" applyAlignment="1" applyProtection="1">
      <alignment horizontal="right"/>
      <protection locked="0"/>
    </xf>
    <xf numFmtId="0" fontId="10" fillId="0" borderId="15" xfId="0" applyFont="1" applyBorder="1" applyProtection="1">
      <protection locked="0"/>
    </xf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3" fillId="4" borderId="13" xfId="0" applyFont="1" applyFill="1" applyBorder="1" applyAlignment="1" applyProtection="1">
      <alignment horizontal="center"/>
      <protection locked="0"/>
    </xf>
    <xf numFmtId="0" fontId="0" fillId="0" borderId="1" xfId="0" applyBorder="1" applyAlignment="1">
      <alignment horizontal="left"/>
    </xf>
    <xf numFmtId="0" fontId="2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</cellXfs>
  <cellStyles count="4">
    <cellStyle name="Comma" xfId="3" builtinId="3"/>
    <cellStyle name="Currency" xfId="1" builtinId="4"/>
    <cellStyle name="Normal" xfId="0" builtinId="0"/>
    <cellStyle name="Normal 5" xfId="2" xr:uid="{00000000-0005-0000-0000-000002000000}"/>
  </cellStyles>
  <dxfs count="66"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dd/mm/yyyy"/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bgColor rgb="FFFF0000"/>
        </patternFill>
      </fill>
    </dxf>
    <dxf>
      <protection locked="0" hidden="0"/>
    </dxf>
    <dxf>
      <protection locked="0" hidden="0"/>
    </dxf>
    <dxf>
      <numFmt numFmtId="1" formatCode="0"/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8246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4" formatCode="_-&quot;$&quot;* #,##0.00_-;\-&quot;$&quot;* #,##0.00_-;_-&quot;$&quot;* &quot;-&quot;??_-;_-@_-"/>
      <protection locked="0" hidden="0"/>
    </dxf>
    <dxf>
      <numFmt numFmtId="164" formatCode="_-&quot;$&quot;* #,##0.00_-;\-&quot;$&quot;* #,##0.00_-;_-&quot;$&quot;* &quot;-&quot;??_-;_-@_-"/>
      <protection locked="0" hidden="0"/>
    </dxf>
    <dxf>
      <numFmt numFmtId="164" formatCode="_-&quot;$&quot;* #,##0.00_-;\-&quot;$&quot;* #,##0.00_-;_-&quot;$&quot;* &quot;-&quot;??_-;_-@_-"/>
      <fill>
        <patternFill patternType="solid">
          <fgColor indexed="64"/>
          <bgColor theme="0" tint="-0.499984740745262"/>
        </patternFill>
      </fill>
      <protection locked="0" hidden="0"/>
    </dxf>
    <dxf>
      <protection locked="0" hidden="0"/>
    </dxf>
    <dxf>
      <numFmt numFmtId="167" formatCode="dd/mm/yyyy"/>
      <protection locked="0" hidden="0"/>
    </dxf>
    <dxf>
      <numFmt numFmtId="1" formatCode="0"/>
      <alignment horizontal="center" vertical="bottom" textRotation="0" wrapText="0" indent="0" justifyLastLine="0" shrinkToFit="0" readingOrder="0"/>
      <protection locked="0" hidden="0"/>
    </dxf>
    <dxf>
      <numFmt numFmtId="1" formatCode="0"/>
      <alignment horizontal="center" textRotation="0" wrapText="0" indent="0" justifyLastLine="0" shrinkToFit="0" readingOrder="0"/>
      <protection locked="0" hidden="0"/>
    </dxf>
    <dxf>
      <numFmt numFmtId="1" formatCode="0"/>
      <alignment horizontal="center" textRotation="0" wrapText="0" indent="0" justifyLastLine="0" shrinkToFit="0" readingOrder="0"/>
      <protection locked="0" hidden="0"/>
    </dxf>
    <dxf>
      <numFmt numFmtId="1" formatCode="0"/>
      <alignment horizontal="center" textRotation="0" wrapText="0" indent="0" justifyLastLine="0" shrinkToFit="0" readingOrder="0"/>
      <protection locked="0" hidden="0"/>
    </dxf>
    <dxf>
      <numFmt numFmtId="1" formatCode="0"/>
      <alignment horizontal="center" textRotation="0" wrapText="0" indent="0" justifyLastLine="0" shrinkToFit="0" readingOrder="0"/>
      <protection locked="0" hidden="0"/>
    </dxf>
    <dxf>
      <font>
        <b val="0"/>
      </font>
      <numFmt numFmtId="0" formatCode="General"/>
      <protection locked="1" hidden="0"/>
    </dxf>
    <dxf>
      <font>
        <b val="0"/>
      </font>
      <numFmt numFmtId="0" formatCode="General"/>
      <protection locked="1" hidden="0"/>
    </dxf>
    <dxf>
      <protection locked="0" hidden="0"/>
    </dxf>
    <dxf>
      <numFmt numFmtId="22" formatCode="mmm\-yy"/>
      <protection locked="0" hidden="0"/>
    </dxf>
    <dxf>
      <numFmt numFmtId="0" formatCode="General"/>
      <protection locked="0" hidden="0"/>
    </dxf>
    <dxf>
      <numFmt numFmtId="1" formatCode="0"/>
      <protection locked="0" hidden="0"/>
    </dxf>
    <dxf>
      <numFmt numFmtId="1" formatCode="0"/>
      <protection locked="0" hidden="0"/>
    </dxf>
    <dxf>
      <protection locked="0" hidden="0"/>
    </dxf>
    <dxf>
      <font>
        <b val="0"/>
      </font>
      <fill>
        <patternFill patternType="solid">
          <fgColor indexed="64"/>
          <bgColor rgb="FF008246"/>
        </patternFill>
      </fill>
      <alignment horizontal="center" vertical="bottom" textRotation="0" wrapText="0" indent="0" justifyLastLine="0" shrinkToFit="0" readingOrder="0"/>
      <protection locked="0" hidden="0"/>
    </dxf>
    <dxf>
      <font>
        <color theme="0"/>
      </font>
      <fill>
        <patternFill>
          <bgColor rgb="FFFF0000"/>
        </patternFill>
      </fill>
    </dxf>
    <dxf>
      <font>
        <color theme="0" tint="-0.499984740745262"/>
      </font>
      <fill>
        <patternFill patternType="mediumGray">
          <fgColor theme="1" tint="0.499984740745262"/>
          <bgColor theme="1"/>
        </patternFill>
      </fill>
    </dxf>
    <dxf>
      <font>
        <color theme="0" tint="-0.499984740745262"/>
      </font>
      <fill>
        <patternFill patternType="mediumGray">
          <fgColor theme="1" tint="0.499984740745262"/>
          <bgColor theme="1" tint="4.9989318521683403E-2"/>
        </patternFill>
      </fill>
    </dxf>
    <dxf>
      <font>
        <color theme="0" tint="-0.499984740745262"/>
      </font>
      <fill>
        <patternFill patternType="mediumGray">
          <fgColor theme="1" tint="0.499984740745262"/>
          <bgColor theme="1" tint="4.9989318521683403E-2"/>
        </patternFill>
      </fill>
    </dxf>
    <dxf>
      <fill>
        <patternFill patternType="mediumGray">
          <fgColor theme="2" tint="-0.499984740745262"/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$&quot;* #,##0.00_-;\-&quot;$&quot;* #,##0.00_-;_-&quot;$&quot;* &quot;-&quot;??_-;_-@_-"/>
    </dxf>
  </dxfs>
  <tableStyles count="0" defaultTableStyle="TableStyleMedium2" defaultPivotStyle="PivotStyleLight16"/>
  <colors>
    <mruColors>
      <color rgb="FF0082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419101</xdr:colOff>
      <xdr:row>4</xdr:row>
      <xdr:rowOff>161925</xdr:rowOff>
    </xdr:from>
    <xdr:to>
      <xdr:col>4</xdr:col>
      <xdr:colOff>209551</xdr:colOff>
      <xdr:row>6</xdr:row>
      <xdr:rowOff>123825</xdr:rowOff>
    </xdr:to>
    <xdr:pic>
      <xdr:nvPicPr>
        <xdr:cNvPr id="2" name="Picture 1" descr="http://heismx1trisbw03/Expins/imgs/expin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405"/>
        <a:stretch/>
      </xdr:blipFill>
      <xdr:spPr bwMode="auto">
        <a:xfrm>
          <a:off x="3867151" y="1104900"/>
          <a:ext cx="131445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419100</xdr:colOff>
      <xdr:row>2</xdr:row>
      <xdr:rowOff>133350</xdr:rowOff>
    </xdr:from>
    <xdr:to>
      <xdr:col>2</xdr:col>
      <xdr:colOff>1276350</xdr:colOff>
      <xdr:row>7</xdr:row>
      <xdr:rowOff>123825</xdr:rowOff>
    </xdr:to>
    <xdr:pic>
      <xdr:nvPicPr>
        <xdr:cNvPr id="4" name="Picture 3" descr="HNV_Heineken_Mexico_Sin_Fondo_7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695325"/>
          <a:ext cx="857250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800100</xdr:colOff>
      <xdr:row>9</xdr:row>
      <xdr:rowOff>142875</xdr:rowOff>
    </xdr:from>
    <xdr:to>
      <xdr:col>2</xdr:col>
      <xdr:colOff>1032217</xdr:colOff>
      <xdr:row>11</xdr:row>
      <xdr:rowOff>76200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28900" y="2038350"/>
          <a:ext cx="232117" cy="314325"/>
        </a:xfrm>
        <a:prstGeom prst="rect">
          <a:avLst/>
        </a:prstGeom>
      </xdr:spPr>
    </xdr:pic>
    <xdr:clientData/>
  </xdr:twoCellAnchor>
  <xdr:twoCellAnchor editAs="oneCell">
    <xdr:from>
      <xdr:col>2</xdr:col>
      <xdr:colOff>228601</xdr:colOff>
      <xdr:row>10</xdr:row>
      <xdr:rowOff>28575</xdr:rowOff>
    </xdr:from>
    <xdr:to>
      <xdr:col>2</xdr:col>
      <xdr:colOff>618260</xdr:colOff>
      <xdr:row>11</xdr:row>
      <xdr:rowOff>76200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401" y="2114550"/>
          <a:ext cx="389659" cy="238125"/>
        </a:xfrm>
        <a:prstGeom prst="rect">
          <a:avLst/>
        </a:prstGeom>
      </xdr:spPr>
    </xdr:pic>
    <xdr:clientData/>
  </xdr:twoCellAnchor>
  <xdr:twoCellAnchor editAs="oneCell">
    <xdr:from>
      <xdr:col>1</xdr:col>
      <xdr:colOff>561975</xdr:colOff>
      <xdr:row>9</xdr:row>
      <xdr:rowOff>66673</xdr:rowOff>
    </xdr:from>
    <xdr:to>
      <xdr:col>1</xdr:col>
      <xdr:colOff>933450</xdr:colOff>
      <xdr:row>11</xdr:row>
      <xdr:rowOff>57148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71575" y="1962148"/>
          <a:ext cx="371475" cy="371475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1143001</xdr:colOff>
      <xdr:row>9</xdr:row>
      <xdr:rowOff>66676</xdr:rowOff>
    </xdr:from>
    <xdr:to>
      <xdr:col>2</xdr:col>
      <xdr:colOff>76201</xdr:colOff>
      <xdr:row>11</xdr:row>
      <xdr:rowOff>79377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2601" y="1962151"/>
          <a:ext cx="152400" cy="393701"/>
        </a:xfrm>
        <a:prstGeom prst="rect">
          <a:avLst/>
        </a:prstGeom>
      </xdr:spPr>
    </xdr:pic>
    <xdr:clientData/>
  </xdr:twoCellAnchor>
  <xdr:twoCellAnchor editAs="oneCell">
    <xdr:from>
      <xdr:col>3</xdr:col>
      <xdr:colOff>1076326</xdr:colOff>
      <xdr:row>9</xdr:row>
      <xdr:rowOff>171450</xdr:rowOff>
    </xdr:from>
    <xdr:to>
      <xdr:col>3</xdr:col>
      <xdr:colOff>1373660</xdr:colOff>
      <xdr:row>11</xdr:row>
      <xdr:rowOff>76200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24376" y="2066925"/>
          <a:ext cx="297334" cy="285750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9</xdr:row>
      <xdr:rowOff>152400</xdr:rowOff>
    </xdr:from>
    <xdr:to>
      <xdr:col>4</xdr:col>
      <xdr:colOff>1098892</xdr:colOff>
      <xdr:row>11</xdr:row>
      <xdr:rowOff>85725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38825" y="2047875"/>
          <a:ext cx="232117" cy="314325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409576</xdr:colOff>
      <xdr:row>10</xdr:row>
      <xdr:rowOff>38100</xdr:rowOff>
    </xdr:from>
    <xdr:to>
      <xdr:col>4</xdr:col>
      <xdr:colOff>799235</xdr:colOff>
      <xdr:row>11</xdr:row>
      <xdr:rowOff>85725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81626" y="2124075"/>
          <a:ext cx="389659" cy="238125"/>
        </a:xfrm>
        <a:prstGeom prst="rect">
          <a:avLst/>
        </a:prstGeom>
      </xdr:spPr>
    </xdr:pic>
    <xdr:clientData/>
  </xdr:twoCellAnchor>
  <xdr:twoCellAnchor editAs="oneCell">
    <xdr:from>
      <xdr:col>4</xdr:col>
      <xdr:colOff>66676</xdr:colOff>
      <xdr:row>9</xdr:row>
      <xdr:rowOff>66676</xdr:rowOff>
    </xdr:from>
    <xdr:to>
      <xdr:col>4</xdr:col>
      <xdr:colOff>219076</xdr:colOff>
      <xdr:row>11</xdr:row>
      <xdr:rowOff>79377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38726" y="1962151"/>
          <a:ext cx="152400" cy="393701"/>
        </a:xfrm>
        <a:prstGeom prst="rect">
          <a:avLst/>
        </a:prstGeom>
      </xdr:spPr>
    </xdr:pic>
    <xdr:clientData/>
  </xdr:twoCellAnchor>
  <xdr:twoCellAnchor editAs="oneCell">
    <xdr:from>
      <xdr:col>3</xdr:col>
      <xdr:colOff>295275</xdr:colOff>
      <xdr:row>10</xdr:row>
      <xdr:rowOff>9525</xdr:rowOff>
    </xdr:from>
    <xdr:to>
      <xdr:col>3</xdr:col>
      <xdr:colOff>866775</xdr:colOff>
      <xdr:row>11</xdr:row>
      <xdr:rowOff>84364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743325" y="2095500"/>
          <a:ext cx="571500" cy="265339"/>
        </a:xfrm>
        <a:prstGeom prst="rect">
          <a:avLst/>
        </a:prstGeom>
      </xdr:spPr>
    </xdr:pic>
    <xdr:clientData/>
  </xdr:twoCellAnchor>
  <xdr:twoCellAnchor>
    <xdr:from>
      <xdr:col>3</xdr:col>
      <xdr:colOff>28575</xdr:colOff>
      <xdr:row>9</xdr:row>
      <xdr:rowOff>95250</xdr:rowOff>
    </xdr:from>
    <xdr:to>
      <xdr:col>3</xdr:col>
      <xdr:colOff>28575</xdr:colOff>
      <xdr:row>11</xdr:row>
      <xdr:rowOff>66675</xdr:rowOff>
    </xdr:to>
    <xdr:cxnSp macro="">
      <xdr:nvCxnSpPr>
        <xdr:cNvPr id="161" name="Straight Connector 160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CxnSpPr/>
      </xdr:nvCxnSpPr>
      <xdr:spPr>
        <a:xfrm>
          <a:off x="3476625" y="1990725"/>
          <a:ext cx="0" cy="352425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heiway-my.sharepoint.com/personal/lugoe03_heiway_net/Documents/Desktop/Trade%20Off/PEPS%202026.xlsx" TargetMode="External"/><Relationship Id="rId2" Type="http://schemas.openxmlformats.org/officeDocument/2006/relationships/externalLinkPath" Target="https://heiway-my.sharepoint.com/personal/lugoe03_heiway_net/Documents/Desktop/Trade%20Off/PEPS%202026.xlsx" TargetMode="External"/><Relationship Id="rId1" Type="http://schemas.openxmlformats.org/officeDocument/2006/relationships/externalLinkPath" Target="/personal/lugoe03_heiway_net/Documents/Desktop/Trade%20Off/PEPS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Resumen"/>
      <sheetName val="BASE TRADE"/>
      <sheetName val="BASE CAPEX"/>
    </sheetNames>
    <sheetDataSet>
      <sheetData sheetId="0"/>
      <sheetData sheetId="1"/>
      <sheetData sheetId="2">
        <row r="2">
          <cell r="Q2" t="str">
            <v>Region</v>
          </cell>
          <cell r="R2" t="str">
            <v>GZ</v>
          </cell>
        </row>
        <row r="3">
          <cell r="Q3" t="str">
            <v>6. Staff Trade</v>
          </cell>
          <cell r="R3" t="str">
            <v>STAFF_TRADE</v>
          </cell>
        </row>
        <row r="4">
          <cell r="Q4" t="str">
            <v>6. Staff Trade</v>
          </cell>
          <cell r="R4" t="str">
            <v>STAFF_TRADE</v>
          </cell>
        </row>
        <row r="5">
          <cell r="Q5" t="str">
            <v>6. Staff Trade</v>
          </cell>
          <cell r="R5" t="str">
            <v>STAFF_TRADE</v>
          </cell>
        </row>
        <row r="6">
          <cell r="Q6" t="str">
            <v>6. Staff Trade</v>
          </cell>
          <cell r="R6" t="str">
            <v>STAFF_TRADE</v>
          </cell>
        </row>
        <row r="7">
          <cell r="Q7" t="str">
            <v>6. Staff Trade</v>
          </cell>
          <cell r="R7" t="str">
            <v>STAFF_TRADE</v>
          </cell>
        </row>
        <row r="8">
          <cell r="Q8" t="str">
            <v>6. Staff Trade</v>
          </cell>
          <cell r="R8" t="str">
            <v>STAFF_TRADE</v>
          </cell>
        </row>
        <row r="9">
          <cell r="Q9" t="str">
            <v>6. Staff Trade</v>
          </cell>
          <cell r="R9" t="str">
            <v>STAFF_TRADE</v>
          </cell>
        </row>
        <row r="10">
          <cell r="Q10" t="str">
            <v>6. Staff Trade</v>
          </cell>
          <cell r="R10" t="str">
            <v>STAFF_TRADE</v>
          </cell>
        </row>
        <row r="11">
          <cell r="Q11" t="str">
            <v>6. Staff Trade</v>
          </cell>
          <cell r="R11" t="str">
            <v>STAFF_TRADE</v>
          </cell>
        </row>
        <row r="12">
          <cell r="Q12" t="str">
            <v>6. Staff Trade</v>
          </cell>
          <cell r="R12" t="str">
            <v>STAFF_TRADE</v>
          </cell>
        </row>
        <row r="13">
          <cell r="Q13" t="str">
            <v>6. Staff Trade</v>
          </cell>
          <cell r="R13" t="str">
            <v>STAFF_TRADE</v>
          </cell>
        </row>
        <row r="14">
          <cell r="Q14" t="str">
            <v>6. Staff Trade</v>
          </cell>
          <cell r="R14" t="str">
            <v>STAFF_TRADE</v>
          </cell>
        </row>
        <row r="15">
          <cell r="Q15" t="str">
            <v>6. Staff Trade</v>
          </cell>
          <cell r="R15" t="str">
            <v>STAFF_TRADE</v>
          </cell>
        </row>
        <row r="16">
          <cell r="Q16" t="str">
            <v>6. Staff Trade</v>
          </cell>
          <cell r="R16" t="str">
            <v>STAFF_TRADE</v>
          </cell>
        </row>
        <row r="17">
          <cell r="Q17" t="str">
            <v>6. Staff Trade</v>
          </cell>
          <cell r="R17" t="str">
            <v>STAFF_TRADE</v>
          </cell>
        </row>
        <row r="18">
          <cell r="Q18" t="str">
            <v>6. Staff Trade</v>
          </cell>
          <cell r="R18" t="str">
            <v>STAFF_TRADE</v>
          </cell>
        </row>
        <row r="19">
          <cell r="Q19" t="str">
            <v>6. Staff Trade</v>
          </cell>
          <cell r="R19" t="str">
            <v>STAFF_TRADE</v>
          </cell>
        </row>
        <row r="20">
          <cell r="Q20" t="str">
            <v>6. Staff Trade</v>
          </cell>
          <cell r="R20" t="str">
            <v>STAFF_TRADE</v>
          </cell>
        </row>
        <row r="21">
          <cell r="Q21" t="str">
            <v>6. Staff Trade</v>
          </cell>
          <cell r="R21" t="str">
            <v>STAFF_TRADE</v>
          </cell>
        </row>
        <row r="22">
          <cell r="Q22" t="str">
            <v>6. Staff Trade</v>
          </cell>
          <cell r="R22" t="str">
            <v>STAFF_TRADE</v>
          </cell>
        </row>
        <row r="23">
          <cell r="Q23" t="str">
            <v>6. Staff Trade</v>
          </cell>
          <cell r="R23" t="str">
            <v>STAFF_TRADE</v>
          </cell>
        </row>
        <row r="24">
          <cell r="Q24" t="str">
            <v>6. Staff Trade</v>
          </cell>
          <cell r="R24" t="str">
            <v>STAFF_TRADE</v>
          </cell>
        </row>
        <row r="25">
          <cell r="Q25" t="str">
            <v>6. Staff Trade</v>
          </cell>
          <cell r="R25" t="str">
            <v>STAFF_TRADE</v>
          </cell>
        </row>
        <row r="26">
          <cell r="Q26" t="str">
            <v>6. Staff Trade</v>
          </cell>
          <cell r="R26" t="str">
            <v>STAFF_TRADE</v>
          </cell>
        </row>
        <row r="27">
          <cell r="Q27" t="str">
            <v>6. Staff Trade</v>
          </cell>
          <cell r="R27" t="str">
            <v>STAFF_TRADE</v>
          </cell>
        </row>
        <row r="28">
          <cell r="Q28" t="str">
            <v>6. Staff Trade</v>
          </cell>
          <cell r="R28" t="str">
            <v>STAFF_TRADE</v>
          </cell>
        </row>
        <row r="29">
          <cell r="Q29" t="str">
            <v>6. Staff Trade</v>
          </cell>
          <cell r="R29" t="str">
            <v>STAFF_TRADE</v>
          </cell>
        </row>
        <row r="30">
          <cell r="Q30" t="str">
            <v>6. Staff Trade</v>
          </cell>
          <cell r="R30" t="str">
            <v>STAFF_TRADE</v>
          </cell>
        </row>
        <row r="31">
          <cell r="Q31" t="str">
            <v>4. Center</v>
          </cell>
          <cell r="R31" t="str">
            <v>STAFF CENTRO</v>
          </cell>
        </row>
        <row r="32">
          <cell r="Q32" t="str">
            <v>6. Staff Trade</v>
          </cell>
          <cell r="R32" t="str">
            <v>STAFF_TRADE</v>
          </cell>
        </row>
        <row r="33">
          <cell r="Q33" t="str">
            <v>3. West</v>
          </cell>
          <cell r="R33" t="str">
            <v>STAFF WEST</v>
          </cell>
        </row>
        <row r="34">
          <cell r="Q34" t="str">
            <v>1. Northwest</v>
          </cell>
          <cell r="R34" t="str">
            <v>STAFF NOROESTE</v>
          </cell>
        </row>
        <row r="35">
          <cell r="Q35" t="str">
            <v>2. Northeast</v>
          </cell>
          <cell r="R35" t="str">
            <v>STAFF NORESTE</v>
          </cell>
        </row>
        <row r="36">
          <cell r="Q36" t="str">
            <v>5. Southeast</v>
          </cell>
          <cell r="R36" t="str">
            <v>STAFF SURESTE</v>
          </cell>
        </row>
        <row r="37">
          <cell r="Q37" t="str">
            <v>6. Staff Trade</v>
          </cell>
          <cell r="R37" t="str">
            <v>STAFF_TRADE</v>
          </cell>
        </row>
        <row r="38">
          <cell r="Q38" t="str">
            <v>6. Staff Trade</v>
          </cell>
          <cell r="R38" t="str">
            <v>STAFF_TRADE</v>
          </cell>
        </row>
        <row r="39">
          <cell r="Q39" t="str">
            <v>6. Staff Trade</v>
          </cell>
          <cell r="R39" t="str">
            <v>STAFF_TRADE</v>
          </cell>
        </row>
        <row r="40">
          <cell r="Q40" t="str">
            <v>4. Center</v>
          </cell>
          <cell r="R40" t="str">
            <v>STAFF CENTRO</v>
          </cell>
        </row>
        <row r="41">
          <cell r="Q41" t="str">
            <v>4. Center</v>
          </cell>
          <cell r="R41" t="str">
            <v>STAFF CENTRO</v>
          </cell>
        </row>
        <row r="42">
          <cell r="Q42" t="str">
            <v>4. Center</v>
          </cell>
          <cell r="R42" t="str">
            <v>STAFF CENTRO</v>
          </cell>
        </row>
        <row r="43">
          <cell r="Q43" t="str">
            <v>4. Center</v>
          </cell>
          <cell r="R43" t="str">
            <v>STAFF CENTRO</v>
          </cell>
        </row>
        <row r="44">
          <cell r="Q44" t="str">
            <v>3. West</v>
          </cell>
          <cell r="R44" t="str">
            <v>STAFF WEST</v>
          </cell>
        </row>
        <row r="45">
          <cell r="Q45" t="str">
            <v>3. West</v>
          </cell>
          <cell r="R45" t="str">
            <v>STAFF WEST</v>
          </cell>
        </row>
        <row r="46">
          <cell r="Q46" t="str">
            <v>3. West</v>
          </cell>
          <cell r="R46" t="str">
            <v>STAFF WEST</v>
          </cell>
        </row>
        <row r="47">
          <cell r="Q47" t="str">
            <v>1. Northwest</v>
          </cell>
          <cell r="R47" t="str">
            <v>STAFF NOROESTE</v>
          </cell>
        </row>
        <row r="48">
          <cell r="Q48" t="str">
            <v>1. Northwest</v>
          </cell>
          <cell r="R48" t="str">
            <v>STAFF NOROESTE</v>
          </cell>
        </row>
        <row r="49">
          <cell r="Q49" t="str">
            <v>1. Northwest</v>
          </cell>
          <cell r="R49" t="str">
            <v>STAFF NOROESTE</v>
          </cell>
        </row>
        <row r="50">
          <cell r="Q50" t="str">
            <v>4. Center</v>
          </cell>
          <cell r="R50" t="str">
            <v>STAFF CENTRO</v>
          </cell>
        </row>
        <row r="51">
          <cell r="Q51" t="str">
            <v>2. Northeast</v>
          </cell>
          <cell r="R51" t="str">
            <v>STAFF NORESTE</v>
          </cell>
        </row>
        <row r="52">
          <cell r="Q52" t="str">
            <v>2. Northeast</v>
          </cell>
          <cell r="R52" t="str">
            <v>STAFF NORESTE</v>
          </cell>
        </row>
        <row r="53">
          <cell r="Q53" t="str">
            <v>2. Northeast</v>
          </cell>
          <cell r="R53" t="str">
            <v>STAFF NORESTE</v>
          </cell>
        </row>
        <row r="54">
          <cell r="Q54" t="str">
            <v>5. Southeast</v>
          </cell>
          <cell r="R54" t="str">
            <v>STAFF SURESTE</v>
          </cell>
        </row>
        <row r="55">
          <cell r="Q55" t="str">
            <v>5. Southeast</v>
          </cell>
          <cell r="R55" t="str">
            <v>STAFF SURESTE</v>
          </cell>
        </row>
        <row r="56">
          <cell r="Q56" t="str">
            <v>5. Southeast</v>
          </cell>
          <cell r="R56" t="str">
            <v>STAFF SURESTE</v>
          </cell>
        </row>
        <row r="57">
          <cell r="Q57" t="str">
            <v>5. Southeast</v>
          </cell>
          <cell r="R57" t="str">
            <v>STAFF SURESTE</v>
          </cell>
        </row>
        <row r="58">
          <cell r="Q58" t="str">
            <v>6. Staff Trade</v>
          </cell>
          <cell r="R58" t="str">
            <v>STAFF_TRADE</v>
          </cell>
        </row>
        <row r="59">
          <cell r="Q59" t="str">
            <v>6. Staff Trade</v>
          </cell>
          <cell r="R59" t="str">
            <v>STAFF_TRADE</v>
          </cell>
        </row>
        <row r="60">
          <cell r="Q60" t="str">
            <v>6. Staff Trade</v>
          </cell>
          <cell r="R60" t="str">
            <v>STAFF_TRADE</v>
          </cell>
        </row>
        <row r="61">
          <cell r="Q61" t="str">
            <v>6. Staff Trade</v>
          </cell>
          <cell r="R61" t="str">
            <v>STAFF_TRADE</v>
          </cell>
        </row>
        <row r="62">
          <cell r="Q62" t="str">
            <v>6. Staff Trade</v>
          </cell>
          <cell r="R62" t="str">
            <v>STAFF_TRADE</v>
          </cell>
        </row>
        <row r="63">
          <cell r="Q63" t="str">
            <v>6. Staff Trade</v>
          </cell>
          <cell r="R63" t="str">
            <v>STAFF_TRADE</v>
          </cell>
        </row>
        <row r="64">
          <cell r="Q64" t="str">
            <v>6. Staff Trade</v>
          </cell>
          <cell r="R64" t="str">
            <v>STAFF_TRADE</v>
          </cell>
        </row>
        <row r="65">
          <cell r="Q65" t="str">
            <v>6. Staff Trade</v>
          </cell>
          <cell r="R65" t="str">
            <v>STAFF_TRADE</v>
          </cell>
        </row>
        <row r="66">
          <cell r="Q66" t="str">
            <v>6. Staff Trade</v>
          </cell>
          <cell r="R66" t="str">
            <v>STAFF_TRADE</v>
          </cell>
        </row>
        <row r="67">
          <cell r="Q67" t="str">
            <v>6. Staff Trade</v>
          </cell>
          <cell r="R67" t="str">
            <v>STAFF_TRADE</v>
          </cell>
        </row>
        <row r="68">
          <cell r="Q68" t="str">
            <v>4. Center</v>
          </cell>
          <cell r="R68" t="str">
            <v>STAFF CENTRO</v>
          </cell>
        </row>
        <row r="69">
          <cell r="Q69" t="str">
            <v>4. Center</v>
          </cell>
          <cell r="R69" t="str">
            <v>STAFF CENTRO</v>
          </cell>
        </row>
        <row r="70">
          <cell r="Q70" t="str">
            <v>3. West</v>
          </cell>
          <cell r="R70" t="str">
            <v>STAFF WEST</v>
          </cell>
        </row>
        <row r="71">
          <cell r="Q71" t="str">
            <v>3. West</v>
          </cell>
          <cell r="R71" t="str">
            <v>STAFF WEST</v>
          </cell>
        </row>
        <row r="72">
          <cell r="Q72" t="str">
            <v>1. Northwest</v>
          </cell>
          <cell r="R72" t="str">
            <v>STAFF NOROESTE</v>
          </cell>
        </row>
        <row r="73">
          <cell r="Q73" t="str">
            <v>1. Northwest</v>
          </cell>
          <cell r="R73" t="str">
            <v>STAFF NOROESTE</v>
          </cell>
        </row>
        <row r="74">
          <cell r="Q74" t="str">
            <v>2. Northeast</v>
          </cell>
          <cell r="R74" t="str">
            <v>STAFF NORESTE</v>
          </cell>
        </row>
        <row r="75">
          <cell r="Q75" t="str">
            <v>2. Northeast</v>
          </cell>
          <cell r="R75" t="str">
            <v>STAFF NORESTE</v>
          </cell>
        </row>
        <row r="76">
          <cell r="Q76" t="str">
            <v>5. Southeast</v>
          </cell>
          <cell r="R76" t="str">
            <v>STAFF SURESTE</v>
          </cell>
        </row>
        <row r="77">
          <cell r="Q77" t="str">
            <v>5. Southeast</v>
          </cell>
          <cell r="R77" t="str">
            <v>STAFF SURESTE</v>
          </cell>
        </row>
        <row r="78">
          <cell r="Q78" t="str">
            <v>6. Staff Trade</v>
          </cell>
          <cell r="R78" t="str">
            <v>STAFF_TRADE</v>
          </cell>
        </row>
        <row r="79">
          <cell r="Q79" t="str">
            <v>6. Staff Trade</v>
          </cell>
          <cell r="R79" t="str">
            <v>STAFF_TRADE</v>
          </cell>
        </row>
        <row r="80">
          <cell r="Q80" t="str">
            <v>6. Staff Trade</v>
          </cell>
          <cell r="R80" t="str">
            <v>STAFF_TRADE</v>
          </cell>
        </row>
        <row r="81">
          <cell r="Q81" t="str">
            <v>6. Staff Trade</v>
          </cell>
          <cell r="R81" t="str">
            <v>STAFF_TRADE</v>
          </cell>
        </row>
        <row r="82">
          <cell r="Q82" t="str">
            <v>4. Center</v>
          </cell>
          <cell r="R82" t="str">
            <v>STAFF CENTRO</v>
          </cell>
        </row>
        <row r="83">
          <cell r="Q83" t="str">
            <v>2. Northeast</v>
          </cell>
          <cell r="R83" t="str">
            <v>STAFF NORESTE</v>
          </cell>
        </row>
        <row r="84">
          <cell r="Q84" t="str">
            <v>1. Northwest</v>
          </cell>
          <cell r="R84" t="str">
            <v>STAFF NOROESTE</v>
          </cell>
        </row>
        <row r="85">
          <cell r="Q85" t="str">
            <v>5. Southeast</v>
          </cell>
          <cell r="R85" t="str">
            <v>STAFF SURESTE</v>
          </cell>
        </row>
        <row r="86">
          <cell r="Q86" t="str">
            <v>3. West</v>
          </cell>
          <cell r="R86" t="str">
            <v>STAFF WEST</v>
          </cell>
        </row>
        <row r="87">
          <cell r="Q87" t="str">
            <v>4. Center</v>
          </cell>
          <cell r="R87" t="str">
            <v>STAFF CENTRO</v>
          </cell>
        </row>
        <row r="88">
          <cell r="Q88" t="str">
            <v>2. Northeast</v>
          </cell>
          <cell r="R88" t="str">
            <v>STAFF NORESTE</v>
          </cell>
        </row>
        <row r="89">
          <cell r="Q89" t="str">
            <v>1. Northwest</v>
          </cell>
          <cell r="R89" t="str">
            <v>STAFF NOROESTE</v>
          </cell>
        </row>
        <row r="90">
          <cell r="Q90" t="str">
            <v>5. Southeast</v>
          </cell>
          <cell r="R90" t="str">
            <v>STAFF SURESTE</v>
          </cell>
        </row>
        <row r="91">
          <cell r="Q91" t="str">
            <v>3. West</v>
          </cell>
          <cell r="R91" t="str">
            <v>STAFF WEST</v>
          </cell>
        </row>
        <row r="92">
          <cell r="Q92" t="str">
            <v>6. Staff Trade</v>
          </cell>
          <cell r="R92" t="str">
            <v>STAFF_TRADE</v>
          </cell>
        </row>
        <row r="93">
          <cell r="Q93" t="str">
            <v>6. Staff Trade</v>
          </cell>
          <cell r="R93" t="str">
            <v>STAFF_TRADE</v>
          </cell>
        </row>
        <row r="94">
          <cell r="Q94" t="str">
            <v>6. Staff Trade</v>
          </cell>
          <cell r="R94" t="str">
            <v>STAFF_TRADE</v>
          </cell>
        </row>
        <row r="95">
          <cell r="Q95" t="str">
            <v>6. Staff Trade</v>
          </cell>
          <cell r="R95" t="str">
            <v>STAFF_TRADE</v>
          </cell>
        </row>
        <row r="96">
          <cell r="Q96" t="str">
            <v>6. Staff Trade</v>
          </cell>
          <cell r="R96" t="str">
            <v>STAFF_TRADE</v>
          </cell>
        </row>
        <row r="97">
          <cell r="Q97" t="str">
            <v>4. Center</v>
          </cell>
          <cell r="R97" t="str">
            <v>STAFF CENTRO</v>
          </cell>
        </row>
        <row r="98">
          <cell r="Q98" t="str">
            <v>2. Northeast</v>
          </cell>
          <cell r="R98" t="str">
            <v>STAFF NORESTE</v>
          </cell>
        </row>
        <row r="99">
          <cell r="Q99" t="str">
            <v>1. Northwest</v>
          </cell>
          <cell r="R99" t="str">
            <v>STAFF NOROESTE</v>
          </cell>
        </row>
        <row r="100">
          <cell r="Q100" t="str">
            <v>5. Southeast</v>
          </cell>
          <cell r="R100" t="str">
            <v>STAFF SURESTE</v>
          </cell>
        </row>
        <row r="101">
          <cell r="Q101" t="str">
            <v>3. West</v>
          </cell>
          <cell r="R101" t="str">
            <v>STAFF WEST</v>
          </cell>
        </row>
        <row r="102">
          <cell r="Q102" t="str">
            <v>6. Staff Trade</v>
          </cell>
          <cell r="R102" t="str">
            <v>STAFF_TRADE</v>
          </cell>
        </row>
        <row r="103">
          <cell r="Q103" t="str">
            <v>6. Staff Trade</v>
          </cell>
          <cell r="R103" t="str">
            <v>STAFF_TRADE</v>
          </cell>
        </row>
        <row r="104">
          <cell r="Q104" t="str">
            <v>6. Staff Trade</v>
          </cell>
          <cell r="R104" t="str">
            <v>STAFF_TRADE</v>
          </cell>
        </row>
        <row r="105">
          <cell r="Q105" t="str">
            <v>6. Staff Trade</v>
          </cell>
          <cell r="R105" t="str">
            <v>STAFF_TRADE</v>
          </cell>
        </row>
        <row r="106">
          <cell r="Q106" t="str">
            <v>6. Staff Trade</v>
          </cell>
          <cell r="R106" t="str">
            <v>STAFF_TRADE</v>
          </cell>
        </row>
        <row r="107">
          <cell r="Q107" t="str">
            <v>6. Staff Trade</v>
          </cell>
          <cell r="R107" t="str">
            <v>STAFF_TRADE</v>
          </cell>
        </row>
        <row r="108">
          <cell r="Q108" t="str">
            <v>6. Staff Trade</v>
          </cell>
          <cell r="R108" t="str">
            <v>STAFF_TRADE</v>
          </cell>
        </row>
        <row r="109">
          <cell r="Q109" t="str">
            <v>6. Staff Trade</v>
          </cell>
          <cell r="R109" t="str">
            <v>STAFF_TRADE</v>
          </cell>
        </row>
        <row r="110">
          <cell r="Q110" t="str">
            <v>6. Staff Trade</v>
          </cell>
          <cell r="R110" t="str">
            <v>STAFF_TRADE</v>
          </cell>
        </row>
        <row r="111">
          <cell r="Q111" t="str">
            <v>6. Staff Trade</v>
          </cell>
          <cell r="R111" t="str">
            <v>STAFF_TRADE</v>
          </cell>
        </row>
        <row r="112">
          <cell r="Q112" t="str">
            <v>6. Staff Trade</v>
          </cell>
          <cell r="R112" t="str">
            <v>STAFF_TRADE</v>
          </cell>
        </row>
        <row r="113">
          <cell r="Q113" t="str">
            <v>6. Staff Trade</v>
          </cell>
          <cell r="R113" t="str">
            <v>STAFF_TRADE</v>
          </cell>
        </row>
        <row r="114">
          <cell r="Q114" t="str">
            <v>6. Staff Trade</v>
          </cell>
          <cell r="R114" t="str">
            <v>STAFF_TRADE</v>
          </cell>
        </row>
        <row r="115">
          <cell r="Q115" t="str">
            <v>6. Staff Trade</v>
          </cell>
          <cell r="R115" t="str">
            <v>STAFF_TRADE</v>
          </cell>
        </row>
        <row r="116">
          <cell r="Q116" t="str">
            <v>6. Staff Trade</v>
          </cell>
          <cell r="R116" t="str">
            <v>STAFF_TRADE</v>
          </cell>
        </row>
        <row r="117">
          <cell r="Q117" t="str">
            <v>6. Staff Trade</v>
          </cell>
          <cell r="R117" t="str">
            <v>STAFF_TRADE</v>
          </cell>
        </row>
        <row r="118">
          <cell r="Q118" t="str">
            <v>6. Staff Trade</v>
          </cell>
          <cell r="R118" t="str">
            <v>STAFF_TRADE</v>
          </cell>
        </row>
        <row r="119">
          <cell r="Q119" t="str">
            <v>6. Staff Trade</v>
          </cell>
          <cell r="R119" t="str">
            <v>STAFF_TRADE</v>
          </cell>
        </row>
        <row r="120">
          <cell r="Q120" t="str">
            <v>6. Staff Trade</v>
          </cell>
          <cell r="R120" t="str">
            <v>STAFF_TRADE</v>
          </cell>
        </row>
        <row r="121">
          <cell r="Q121" t="str">
            <v>6. Staff Trade</v>
          </cell>
          <cell r="R121" t="str">
            <v>STAFF_TRADE</v>
          </cell>
        </row>
        <row r="122">
          <cell r="Q122" t="str">
            <v>6. Staff Trade</v>
          </cell>
          <cell r="R122" t="str">
            <v>STAFF_TRADE</v>
          </cell>
        </row>
        <row r="123">
          <cell r="Q123" t="str">
            <v>6. Staff Trade</v>
          </cell>
          <cell r="R123" t="str">
            <v>STAFF_TRADE</v>
          </cell>
        </row>
        <row r="124">
          <cell r="Q124" t="str">
            <v>4. Center</v>
          </cell>
          <cell r="R124" t="str">
            <v>Edo. de México</v>
          </cell>
        </row>
        <row r="125">
          <cell r="Q125" t="str">
            <v>4. Center</v>
          </cell>
          <cell r="R125" t="str">
            <v>Guerrero - Morelos</v>
          </cell>
        </row>
        <row r="126">
          <cell r="Q126" t="str">
            <v>4. Center</v>
          </cell>
          <cell r="R126" t="str">
            <v>Guerrero - Morelos</v>
          </cell>
        </row>
        <row r="127">
          <cell r="Q127" t="str">
            <v>4. Center</v>
          </cell>
          <cell r="R127" t="str">
            <v>Hidalgo</v>
          </cell>
        </row>
        <row r="128">
          <cell r="Q128" t="str">
            <v>4. Center</v>
          </cell>
          <cell r="R128" t="str">
            <v>Puebla</v>
          </cell>
        </row>
        <row r="129">
          <cell r="Q129" t="str">
            <v>4. Center</v>
          </cell>
          <cell r="R129" t="str">
            <v>VDM</v>
          </cell>
        </row>
        <row r="130">
          <cell r="Q130" t="str">
            <v>2. Northeast</v>
          </cell>
          <cell r="R130" t="str">
            <v>Coahuila</v>
          </cell>
        </row>
        <row r="131">
          <cell r="Q131" t="str">
            <v>2. Northeast</v>
          </cell>
          <cell r="R131" t="str">
            <v>Durango</v>
          </cell>
        </row>
        <row r="132">
          <cell r="Q132" t="str">
            <v>2. Northeast</v>
          </cell>
          <cell r="R132" t="str">
            <v>Nuevo León</v>
          </cell>
        </row>
        <row r="133">
          <cell r="Q133" t="str">
            <v>2. Northeast</v>
          </cell>
          <cell r="R133" t="str">
            <v>Tamaulipas Nte</v>
          </cell>
        </row>
        <row r="134">
          <cell r="Q134" t="str">
            <v>2. Northeast</v>
          </cell>
          <cell r="R134" t="str">
            <v>Tamaulipas Sur</v>
          </cell>
        </row>
        <row r="135">
          <cell r="Q135" t="str">
            <v>1. Northwest</v>
          </cell>
          <cell r="R135" t="str">
            <v>Baja California</v>
          </cell>
        </row>
        <row r="136">
          <cell r="Q136" t="str">
            <v>1. Northwest</v>
          </cell>
          <cell r="R136" t="str">
            <v>Baja California Sur</v>
          </cell>
        </row>
        <row r="137">
          <cell r="Q137" t="str">
            <v>1. Northwest</v>
          </cell>
          <cell r="R137" t="str">
            <v>Chihuahua</v>
          </cell>
        </row>
        <row r="138">
          <cell r="Q138" t="str">
            <v>1. Northwest</v>
          </cell>
          <cell r="R138" t="str">
            <v>Juárez</v>
          </cell>
        </row>
        <row r="139">
          <cell r="Q139" t="str">
            <v>1. Northwest</v>
          </cell>
          <cell r="R139" t="str">
            <v>Sinaloa</v>
          </cell>
        </row>
        <row r="140">
          <cell r="Q140" t="str">
            <v>1. Northwest</v>
          </cell>
          <cell r="R140" t="str">
            <v>Sonora</v>
          </cell>
        </row>
        <row r="141">
          <cell r="Q141" t="str">
            <v>3. West</v>
          </cell>
          <cell r="R141" t="str">
            <v>SLP - AGS - ZAC</v>
          </cell>
        </row>
        <row r="142">
          <cell r="Q142" t="str">
            <v>3. West</v>
          </cell>
          <cell r="R142" t="str">
            <v>SLP - AGS - ZAC</v>
          </cell>
        </row>
        <row r="143">
          <cell r="Q143" t="str">
            <v>3. West</v>
          </cell>
          <cell r="R143" t="str">
            <v>Guanajuato - Querétaro</v>
          </cell>
        </row>
        <row r="144">
          <cell r="Q144" t="str">
            <v>3. West</v>
          </cell>
          <cell r="R144" t="str">
            <v>Guanajuato - Querétaro</v>
          </cell>
        </row>
        <row r="145">
          <cell r="Q145" t="str">
            <v>3. West</v>
          </cell>
          <cell r="R145" t="str">
            <v>Jalisco - Colima - Nayarit</v>
          </cell>
        </row>
        <row r="146">
          <cell r="Q146" t="str">
            <v>3. West</v>
          </cell>
          <cell r="R146" t="str">
            <v>Michoacán</v>
          </cell>
        </row>
        <row r="147">
          <cell r="Q147" t="str">
            <v>5. Southeast</v>
          </cell>
          <cell r="R147" t="str">
            <v>Franq Chiapas</v>
          </cell>
        </row>
        <row r="148">
          <cell r="Q148" t="str">
            <v>5. Southeast</v>
          </cell>
          <cell r="R148" t="str">
            <v>Oaxaca</v>
          </cell>
        </row>
        <row r="149">
          <cell r="Q149" t="str">
            <v>5. Southeast</v>
          </cell>
          <cell r="R149" t="str">
            <v>Quintana Roo</v>
          </cell>
        </row>
        <row r="150">
          <cell r="Q150" t="str">
            <v>5. Southeast</v>
          </cell>
          <cell r="R150" t="str">
            <v>Tabasco - Veracruz Sur</v>
          </cell>
        </row>
        <row r="151">
          <cell r="Q151" t="str">
            <v>5. Southeast</v>
          </cell>
          <cell r="R151" t="str">
            <v>Tabasco - Veracruz Sur</v>
          </cell>
        </row>
        <row r="152">
          <cell r="Q152" t="str">
            <v>5. Southeast</v>
          </cell>
          <cell r="R152" t="str">
            <v>Veracruz Centro</v>
          </cell>
        </row>
        <row r="153">
          <cell r="Q153" t="str">
            <v>5. Southeast</v>
          </cell>
          <cell r="R153" t="str">
            <v>Yucatán - Campeche</v>
          </cell>
        </row>
        <row r="154">
          <cell r="Q154" t="str">
            <v>4. Center</v>
          </cell>
          <cell r="R154" t="str">
            <v>STAFF CENTRO</v>
          </cell>
        </row>
        <row r="155">
          <cell r="Q155" t="str">
            <v>2. Northeast</v>
          </cell>
          <cell r="R155" t="str">
            <v>STAFF NORESTE</v>
          </cell>
        </row>
        <row r="156">
          <cell r="Q156" t="str">
            <v>1. Northwest</v>
          </cell>
          <cell r="R156" t="str">
            <v>STAFF NOROESTE</v>
          </cell>
        </row>
        <row r="157">
          <cell r="Q157" t="str">
            <v>3. West</v>
          </cell>
          <cell r="R157" t="str">
            <v>STAFF WEST</v>
          </cell>
        </row>
        <row r="158">
          <cell r="Q158" t="str">
            <v>5. Southeast</v>
          </cell>
          <cell r="R158" t="str">
            <v>STAFF SURESTE</v>
          </cell>
        </row>
        <row r="159">
          <cell r="Q159" t="str">
            <v>4. Center</v>
          </cell>
          <cell r="R159" t="str">
            <v>Edo. de México</v>
          </cell>
        </row>
        <row r="160">
          <cell r="Q160" t="str">
            <v>4. Center</v>
          </cell>
          <cell r="R160" t="str">
            <v>Guerrero - Morelos</v>
          </cell>
        </row>
        <row r="161">
          <cell r="Q161" t="str">
            <v>4. Center</v>
          </cell>
          <cell r="R161" t="str">
            <v>Guerrero - Morelos</v>
          </cell>
        </row>
        <row r="162">
          <cell r="Q162" t="str">
            <v>4. Center</v>
          </cell>
          <cell r="R162" t="str">
            <v>Hidalgo</v>
          </cell>
        </row>
        <row r="163">
          <cell r="Q163" t="str">
            <v>4. Center</v>
          </cell>
          <cell r="R163" t="str">
            <v>Puebla</v>
          </cell>
        </row>
        <row r="164">
          <cell r="Q164" t="str">
            <v>4. Center</v>
          </cell>
          <cell r="R164" t="str">
            <v>VDM</v>
          </cell>
        </row>
        <row r="165">
          <cell r="Q165" t="str">
            <v>2. Northeast</v>
          </cell>
          <cell r="R165" t="str">
            <v>Coahuila</v>
          </cell>
        </row>
        <row r="166">
          <cell r="Q166" t="str">
            <v>2. Northeast</v>
          </cell>
          <cell r="R166" t="str">
            <v>Durango</v>
          </cell>
        </row>
        <row r="167">
          <cell r="Q167" t="str">
            <v>2. Northeast</v>
          </cell>
          <cell r="R167" t="str">
            <v>Nuevo León</v>
          </cell>
        </row>
        <row r="168">
          <cell r="Q168" t="str">
            <v>2. Northeast</v>
          </cell>
          <cell r="R168" t="str">
            <v>Tamaulipas Nte</v>
          </cell>
        </row>
        <row r="169">
          <cell r="Q169" t="str">
            <v>2. Northeast</v>
          </cell>
          <cell r="R169" t="str">
            <v>Tamaulipas Sur</v>
          </cell>
        </row>
        <row r="170">
          <cell r="Q170" t="str">
            <v>1. Northwest</v>
          </cell>
          <cell r="R170" t="str">
            <v>Baja California</v>
          </cell>
        </row>
        <row r="171">
          <cell r="Q171" t="str">
            <v>1. Northwest</v>
          </cell>
          <cell r="R171" t="str">
            <v>Baja California Sur</v>
          </cell>
        </row>
        <row r="172">
          <cell r="Q172" t="str">
            <v>1. Northwest</v>
          </cell>
          <cell r="R172" t="str">
            <v>Chihuahua</v>
          </cell>
        </row>
        <row r="173">
          <cell r="Q173" t="str">
            <v>1. Northwest</v>
          </cell>
          <cell r="R173" t="str">
            <v>Juárez</v>
          </cell>
        </row>
        <row r="174">
          <cell r="Q174" t="str">
            <v>1. Northwest</v>
          </cell>
          <cell r="R174" t="str">
            <v>Sinaloa</v>
          </cell>
        </row>
        <row r="175">
          <cell r="Q175" t="str">
            <v>1. Northwest</v>
          </cell>
          <cell r="R175" t="str">
            <v>Sonora</v>
          </cell>
        </row>
        <row r="176">
          <cell r="Q176" t="str">
            <v>3. West</v>
          </cell>
          <cell r="R176" t="str">
            <v>SLP - AGS - ZAC</v>
          </cell>
        </row>
        <row r="177">
          <cell r="Q177" t="str">
            <v>3. West</v>
          </cell>
          <cell r="R177" t="str">
            <v>SLP - AGS - ZAC</v>
          </cell>
        </row>
        <row r="178">
          <cell r="Q178" t="str">
            <v>3. West</v>
          </cell>
          <cell r="R178" t="str">
            <v>Guanajuato - Querétaro</v>
          </cell>
        </row>
        <row r="179">
          <cell r="Q179" t="str">
            <v>3. West</v>
          </cell>
          <cell r="R179" t="str">
            <v>Guanajuato - Querétaro</v>
          </cell>
        </row>
        <row r="180">
          <cell r="Q180" t="str">
            <v>3. West</v>
          </cell>
          <cell r="R180" t="str">
            <v>Jalisco - Colima - Nayarit</v>
          </cell>
        </row>
        <row r="181">
          <cell r="Q181" t="str">
            <v>3. West</v>
          </cell>
          <cell r="R181" t="str">
            <v>Michoacán</v>
          </cell>
        </row>
        <row r="182">
          <cell r="Q182" t="str">
            <v>5. Southeast</v>
          </cell>
          <cell r="R182" t="str">
            <v>Franq Chiapas</v>
          </cell>
        </row>
        <row r="183">
          <cell r="Q183" t="str">
            <v>5. Southeast</v>
          </cell>
          <cell r="R183" t="str">
            <v>Oaxaca</v>
          </cell>
        </row>
        <row r="184">
          <cell r="Q184" t="str">
            <v>5. Southeast</v>
          </cell>
          <cell r="R184" t="str">
            <v>Quintana Roo</v>
          </cell>
        </row>
        <row r="185">
          <cell r="Q185" t="str">
            <v>5. Southeast</v>
          </cell>
          <cell r="R185" t="str">
            <v>Tabasco - Veracruz Sur</v>
          </cell>
        </row>
        <row r="186">
          <cell r="Q186" t="str">
            <v>5. Southeast</v>
          </cell>
          <cell r="R186" t="str">
            <v>Tabasco - Veracruz Sur</v>
          </cell>
        </row>
        <row r="187">
          <cell r="Q187" t="str">
            <v>5. Southeast</v>
          </cell>
          <cell r="R187" t="str">
            <v>Veracruz Centro</v>
          </cell>
        </row>
        <row r="188">
          <cell r="Q188" t="str">
            <v>5. Southeast</v>
          </cell>
          <cell r="R188" t="str">
            <v>Yucatán - Campeche</v>
          </cell>
        </row>
        <row r="189">
          <cell r="Q189" t="str">
            <v>4. Center</v>
          </cell>
          <cell r="R189" t="str">
            <v>Edo. de México</v>
          </cell>
        </row>
        <row r="190">
          <cell r="Q190" t="str">
            <v>4. Center</v>
          </cell>
          <cell r="R190" t="str">
            <v>Guerrero - Morelos</v>
          </cell>
        </row>
        <row r="191">
          <cell r="Q191" t="str">
            <v>4. Center</v>
          </cell>
          <cell r="R191" t="str">
            <v>Guerrero - Morelos</v>
          </cell>
        </row>
        <row r="192">
          <cell r="Q192" t="str">
            <v>4. Center</v>
          </cell>
          <cell r="R192" t="str">
            <v>Hidalgo</v>
          </cell>
        </row>
        <row r="193">
          <cell r="Q193" t="str">
            <v>4. Center</v>
          </cell>
          <cell r="R193" t="str">
            <v>Puebla</v>
          </cell>
        </row>
        <row r="194">
          <cell r="Q194" t="str">
            <v>4. Center</v>
          </cell>
          <cell r="R194" t="str">
            <v>VDM</v>
          </cell>
        </row>
        <row r="195">
          <cell r="Q195" t="str">
            <v>2. Northeast</v>
          </cell>
          <cell r="R195" t="str">
            <v>Coahuila</v>
          </cell>
        </row>
        <row r="196">
          <cell r="Q196" t="str">
            <v>2. Northeast</v>
          </cell>
          <cell r="R196" t="str">
            <v>Durango</v>
          </cell>
        </row>
        <row r="197">
          <cell r="Q197" t="str">
            <v>2. Northeast</v>
          </cell>
          <cell r="R197" t="str">
            <v>Nuevo León</v>
          </cell>
        </row>
        <row r="198">
          <cell r="Q198" t="str">
            <v>2. Northeast</v>
          </cell>
          <cell r="R198" t="str">
            <v>Tamaulipas Nte</v>
          </cell>
        </row>
        <row r="199">
          <cell r="Q199" t="str">
            <v>2. Northeast</v>
          </cell>
          <cell r="R199" t="str">
            <v>Tamaulipas Sur</v>
          </cell>
        </row>
        <row r="200">
          <cell r="Q200" t="str">
            <v>1. Northwest</v>
          </cell>
          <cell r="R200" t="str">
            <v>Baja California</v>
          </cell>
        </row>
        <row r="201">
          <cell r="Q201" t="str">
            <v>1. Northwest</v>
          </cell>
          <cell r="R201" t="str">
            <v>Baja California Sur</v>
          </cell>
        </row>
        <row r="202">
          <cell r="Q202" t="str">
            <v>1. Northwest</v>
          </cell>
          <cell r="R202" t="str">
            <v>Chihuahua</v>
          </cell>
        </row>
        <row r="203">
          <cell r="Q203" t="str">
            <v>1. Northwest</v>
          </cell>
          <cell r="R203" t="str">
            <v>Juárez</v>
          </cell>
        </row>
        <row r="204">
          <cell r="Q204" t="str">
            <v>1. Northwest</v>
          </cell>
          <cell r="R204" t="str">
            <v>Sinaloa</v>
          </cell>
        </row>
        <row r="205">
          <cell r="Q205" t="str">
            <v>1. Northwest</v>
          </cell>
          <cell r="R205" t="str">
            <v>Sonora</v>
          </cell>
        </row>
        <row r="206">
          <cell r="Q206" t="str">
            <v>3. West</v>
          </cell>
          <cell r="R206" t="str">
            <v>SLP - AGS - ZAC</v>
          </cell>
        </row>
        <row r="207">
          <cell r="Q207" t="str">
            <v>3. West</v>
          </cell>
          <cell r="R207" t="str">
            <v>SLP - AGS - ZAC</v>
          </cell>
        </row>
        <row r="208">
          <cell r="Q208" t="str">
            <v>3. West</v>
          </cell>
          <cell r="R208" t="str">
            <v>Guanajuato - Querétaro</v>
          </cell>
        </row>
        <row r="209">
          <cell r="Q209" t="str">
            <v>3. West</v>
          </cell>
          <cell r="R209" t="str">
            <v>Guanajuato - Querétaro</v>
          </cell>
        </row>
        <row r="210">
          <cell r="Q210" t="str">
            <v>3. West</v>
          </cell>
          <cell r="R210" t="str">
            <v>Jalisco - Colima - Nayarit</v>
          </cell>
        </row>
        <row r="211">
          <cell r="Q211" t="str">
            <v>3. West</v>
          </cell>
          <cell r="R211" t="str">
            <v>Michoacán</v>
          </cell>
        </row>
        <row r="212">
          <cell r="Q212" t="str">
            <v>5. Southeast</v>
          </cell>
          <cell r="R212" t="str">
            <v>Franq Chiapas</v>
          </cell>
        </row>
        <row r="213">
          <cell r="Q213" t="str">
            <v>5. Southeast</v>
          </cell>
          <cell r="R213" t="str">
            <v>Oaxaca</v>
          </cell>
        </row>
        <row r="214">
          <cell r="Q214" t="str">
            <v>5. Southeast</v>
          </cell>
          <cell r="R214" t="str">
            <v>Quintana Roo</v>
          </cell>
        </row>
        <row r="215">
          <cell r="Q215" t="str">
            <v>5. Southeast</v>
          </cell>
          <cell r="R215" t="str">
            <v>Tabasco - Veracruz Sur</v>
          </cell>
        </row>
        <row r="216">
          <cell r="Q216" t="str">
            <v>5. Southeast</v>
          </cell>
          <cell r="R216" t="str">
            <v>Tabasco - Veracruz Sur</v>
          </cell>
        </row>
        <row r="217">
          <cell r="Q217" t="str">
            <v>5. Southeast</v>
          </cell>
          <cell r="R217" t="str">
            <v>Veracruz Centro</v>
          </cell>
        </row>
        <row r="218">
          <cell r="Q218" t="str">
            <v>5. Southeast</v>
          </cell>
          <cell r="R218" t="str">
            <v>Yucatán - Campeche</v>
          </cell>
        </row>
        <row r="219">
          <cell r="Q219" t="str">
            <v>4. Center</v>
          </cell>
          <cell r="R219" t="str">
            <v>STAFF CENTRO</v>
          </cell>
        </row>
        <row r="220">
          <cell r="Q220" t="str">
            <v>2. Northeast</v>
          </cell>
          <cell r="R220" t="str">
            <v>STAFF NORESTE</v>
          </cell>
        </row>
        <row r="221">
          <cell r="Q221" t="str">
            <v>1. Northwest</v>
          </cell>
          <cell r="R221" t="str">
            <v>STAFF NOROESTE</v>
          </cell>
        </row>
        <row r="222">
          <cell r="Q222" t="str">
            <v>3. West</v>
          </cell>
          <cell r="R222" t="str">
            <v>STAFF WEST</v>
          </cell>
        </row>
        <row r="223">
          <cell r="Q223" t="str">
            <v>5. Southeast</v>
          </cell>
          <cell r="R223" t="str">
            <v>STAFF SURESTE</v>
          </cell>
        </row>
        <row r="224">
          <cell r="Q224" t="str">
            <v>6. Staff Trade</v>
          </cell>
          <cell r="R224" t="str">
            <v>STAFF_TRADE</v>
          </cell>
        </row>
        <row r="225">
          <cell r="Q225" t="str">
            <v>6. Staff Trade</v>
          </cell>
          <cell r="R225" t="str">
            <v>STAFF_TRADE</v>
          </cell>
        </row>
        <row r="226">
          <cell r="Q226" t="str">
            <v>6. Staff Trade</v>
          </cell>
          <cell r="R226" t="str">
            <v>STAFF_TRADE</v>
          </cell>
        </row>
        <row r="227">
          <cell r="Q227" t="str">
            <v>6. Staff Trade</v>
          </cell>
          <cell r="R227" t="str">
            <v>STAFF_TRADE</v>
          </cell>
        </row>
        <row r="228">
          <cell r="Q228" t="str">
            <v>6. Staff Trade</v>
          </cell>
          <cell r="R228" t="str">
            <v>STAFF_TRADE</v>
          </cell>
        </row>
        <row r="229">
          <cell r="Q229" t="str">
            <v>6. Staff Trade</v>
          </cell>
          <cell r="R229" t="str">
            <v>STAFF_TRADE</v>
          </cell>
        </row>
        <row r="230">
          <cell r="Q230" t="str">
            <v>6. Staff Trade</v>
          </cell>
          <cell r="R230" t="str">
            <v>STAFF_TRADE</v>
          </cell>
        </row>
        <row r="231">
          <cell r="Q231" t="str">
            <v>6. Staff Trade</v>
          </cell>
          <cell r="R231" t="str">
            <v>STAFF_TRADE</v>
          </cell>
        </row>
        <row r="232">
          <cell r="Q232" t="str">
            <v>1. Northwest</v>
          </cell>
          <cell r="R232" t="str">
            <v>STAFF NOROESTE</v>
          </cell>
        </row>
        <row r="233">
          <cell r="Q233" t="str">
            <v>2. Northeast</v>
          </cell>
          <cell r="R233" t="str">
            <v>STAFF NORESTE</v>
          </cell>
        </row>
        <row r="234">
          <cell r="Q234" t="str">
            <v>3. West</v>
          </cell>
          <cell r="R234" t="str">
            <v>STAFF WEST</v>
          </cell>
        </row>
        <row r="235">
          <cell r="Q235" t="str">
            <v>4. Center</v>
          </cell>
          <cell r="R235" t="str">
            <v>STAFF CENTRO</v>
          </cell>
        </row>
        <row r="236">
          <cell r="Q236" t="str">
            <v>5. Southeast</v>
          </cell>
          <cell r="R236" t="str">
            <v>STAFF SURESTE</v>
          </cell>
        </row>
        <row r="237">
          <cell r="Q237" t="str">
            <v>6. Staff Trade</v>
          </cell>
          <cell r="R237" t="str">
            <v>STAFF_TRADE</v>
          </cell>
        </row>
        <row r="238">
          <cell r="Q238" t="str">
            <v>1. Northwest</v>
          </cell>
          <cell r="R238" t="str">
            <v>STAFF NOROESTE</v>
          </cell>
        </row>
        <row r="239">
          <cell r="Q239" t="str">
            <v>2. Northeast</v>
          </cell>
          <cell r="R239" t="str">
            <v>STAFF NORESTE</v>
          </cell>
        </row>
        <row r="240">
          <cell r="Q240" t="str">
            <v>3. West</v>
          </cell>
          <cell r="R240" t="str">
            <v>STAFF WEST</v>
          </cell>
        </row>
        <row r="241">
          <cell r="Q241" t="str">
            <v>4. Center</v>
          </cell>
          <cell r="R241" t="str">
            <v>STAFF CENTRO</v>
          </cell>
        </row>
        <row r="242">
          <cell r="Q242" t="str">
            <v>5. Southeast</v>
          </cell>
          <cell r="R242" t="str">
            <v>STAFF SURESTE</v>
          </cell>
        </row>
        <row r="243">
          <cell r="Q243" t="str">
            <v>1. Northwest</v>
          </cell>
          <cell r="R243" t="str">
            <v>STAFF NOROESTE</v>
          </cell>
        </row>
        <row r="244">
          <cell r="Q244" t="str">
            <v>2. Northeast</v>
          </cell>
          <cell r="R244" t="str">
            <v>STAFF NORESTE</v>
          </cell>
        </row>
        <row r="245">
          <cell r="Q245" t="str">
            <v>3. West</v>
          </cell>
          <cell r="R245" t="str">
            <v>STAFF WEST</v>
          </cell>
        </row>
        <row r="246">
          <cell r="Q246" t="str">
            <v>4. Center</v>
          </cell>
          <cell r="R246" t="str">
            <v>STAFF CENTRO</v>
          </cell>
        </row>
        <row r="247">
          <cell r="Q247" t="str">
            <v>5. Southeast</v>
          </cell>
          <cell r="R247" t="str">
            <v>STAFF SURESTE</v>
          </cell>
        </row>
        <row r="248">
          <cell r="Q248" t="str">
            <v>1. Northwest</v>
          </cell>
          <cell r="R248" t="str">
            <v>STAFF NOROESTE</v>
          </cell>
        </row>
        <row r="249">
          <cell r="Q249" t="str">
            <v>2. Northeast</v>
          </cell>
          <cell r="R249" t="str">
            <v>STAFF NORESTE</v>
          </cell>
        </row>
        <row r="250">
          <cell r="Q250" t="str">
            <v>3. West</v>
          </cell>
          <cell r="R250" t="str">
            <v>STAFF WEST</v>
          </cell>
        </row>
        <row r="251">
          <cell r="Q251" t="str">
            <v>4. Center</v>
          </cell>
          <cell r="R251" t="str">
            <v>STAFF CENTRO</v>
          </cell>
        </row>
        <row r="252">
          <cell r="Q252" t="str">
            <v>5. Southeast</v>
          </cell>
          <cell r="R252" t="str">
            <v>STAFF SURESTE</v>
          </cell>
        </row>
        <row r="253">
          <cell r="Q253" t="str">
            <v>1. Northwest</v>
          </cell>
          <cell r="R253" t="str">
            <v>STAFF NOROESTE</v>
          </cell>
        </row>
        <row r="254">
          <cell r="Q254" t="str">
            <v>2. Northeast</v>
          </cell>
          <cell r="R254" t="str">
            <v>STAFF NORESTE</v>
          </cell>
        </row>
        <row r="255">
          <cell r="Q255" t="str">
            <v>3. West</v>
          </cell>
          <cell r="R255" t="str">
            <v>STAFF WEST</v>
          </cell>
        </row>
        <row r="256">
          <cell r="Q256" t="str">
            <v>4. Center</v>
          </cell>
          <cell r="R256" t="str">
            <v>STAFF CENTRO</v>
          </cell>
        </row>
        <row r="257">
          <cell r="Q257" t="str">
            <v>5. Southeast</v>
          </cell>
          <cell r="R257" t="str">
            <v>STAFF SURESTE</v>
          </cell>
        </row>
        <row r="258">
          <cell r="Q258" t="str">
            <v>6. Staff Trade</v>
          </cell>
          <cell r="R258" t="str">
            <v>STAFF_TRADE</v>
          </cell>
        </row>
        <row r="259">
          <cell r="Q259" t="str">
            <v>6. Staff Trade</v>
          </cell>
          <cell r="R259" t="str">
            <v>STAFF_TRADE</v>
          </cell>
        </row>
        <row r="260">
          <cell r="Q260" t="str">
            <v>1. Northwest</v>
          </cell>
          <cell r="R260" t="str">
            <v>STAFF NOROESTE</v>
          </cell>
        </row>
        <row r="261">
          <cell r="Q261" t="str">
            <v>2. Northeast</v>
          </cell>
          <cell r="R261" t="str">
            <v>STAFF NORESTE</v>
          </cell>
        </row>
        <row r="262">
          <cell r="Q262" t="str">
            <v>3. West</v>
          </cell>
          <cell r="R262" t="str">
            <v>STAFF WEST</v>
          </cell>
        </row>
        <row r="263">
          <cell r="Q263" t="str">
            <v>4. Center</v>
          </cell>
          <cell r="R263" t="str">
            <v>STAFF CENTRO</v>
          </cell>
        </row>
        <row r="264">
          <cell r="Q264" t="str">
            <v>5. Southeast</v>
          </cell>
          <cell r="R264" t="str">
            <v>STAFF SURESTE</v>
          </cell>
        </row>
        <row r="265">
          <cell r="Q265" t="str">
            <v>1. Northwest</v>
          </cell>
          <cell r="R265" t="str">
            <v>STAFF NOROESTE</v>
          </cell>
        </row>
        <row r="266">
          <cell r="Q266" t="str">
            <v>2. Northeast</v>
          </cell>
          <cell r="R266" t="str">
            <v>STAFF NORESTE</v>
          </cell>
        </row>
        <row r="267">
          <cell r="Q267" t="str">
            <v>3. West</v>
          </cell>
          <cell r="R267" t="str">
            <v>STAFF WEST</v>
          </cell>
        </row>
        <row r="268">
          <cell r="Q268" t="str">
            <v>4. Center</v>
          </cell>
          <cell r="R268" t="str">
            <v>STAFF CENTRO</v>
          </cell>
        </row>
        <row r="269">
          <cell r="Q269" t="str">
            <v>5. Southeast</v>
          </cell>
          <cell r="R269" t="str">
            <v>STAFF SURESTE</v>
          </cell>
        </row>
        <row r="270">
          <cell r="Q270" t="str">
            <v>1. Northwest</v>
          </cell>
          <cell r="R270" t="str">
            <v>STAFF NOROESTE</v>
          </cell>
        </row>
        <row r="271">
          <cell r="Q271" t="str">
            <v>2. Northeast</v>
          </cell>
          <cell r="R271" t="str">
            <v>STAFF NORESTE</v>
          </cell>
        </row>
        <row r="272">
          <cell r="Q272" t="str">
            <v>3. West</v>
          </cell>
          <cell r="R272" t="str">
            <v>STAFF WEST</v>
          </cell>
        </row>
        <row r="273">
          <cell r="Q273" t="str">
            <v>4. Center</v>
          </cell>
          <cell r="R273" t="str">
            <v>STAFF CENTRO</v>
          </cell>
        </row>
        <row r="274">
          <cell r="Q274" t="str">
            <v>5. Southeast</v>
          </cell>
          <cell r="R274" t="str">
            <v>STAFF SURESTE</v>
          </cell>
        </row>
        <row r="275">
          <cell r="Q275" t="str">
            <v>1. Northwest</v>
          </cell>
          <cell r="R275" t="str">
            <v>STAFF NOROESTE</v>
          </cell>
        </row>
        <row r="276">
          <cell r="Q276" t="str">
            <v>2. Northeast</v>
          </cell>
          <cell r="R276" t="str">
            <v>STAFF NORESTE</v>
          </cell>
        </row>
        <row r="277">
          <cell r="Q277" t="str">
            <v>3. West</v>
          </cell>
          <cell r="R277" t="str">
            <v>STAFF WEST</v>
          </cell>
        </row>
        <row r="278">
          <cell r="Q278" t="str">
            <v>4. Center</v>
          </cell>
          <cell r="R278" t="str">
            <v>STAFF CENTRO</v>
          </cell>
        </row>
        <row r="279">
          <cell r="Q279" t="str">
            <v>5. Southeast</v>
          </cell>
          <cell r="R279" t="str">
            <v>STAFF SURESTE</v>
          </cell>
        </row>
        <row r="280">
          <cell r="Q280" t="str">
            <v>1. Northwest</v>
          </cell>
          <cell r="R280" t="str">
            <v>STAFF NOROESTE</v>
          </cell>
        </row>
        <row r="281">
          <cell r="Q281" t="str">
            <v>2. Northeast</v>
          </cell>
          <cell r="R281" t="str">
            <v>STAFF NORESTE</v>
          </cell>
        </row>
        <row r="282">
          <cell r="Q282" t="str">
            <v>3. West</v>
          </cell>
          <cell r="R282" t="str">
            <v>STAFF WEST</v>
          </cell>
        </row>
        <row r="283">
          <cell r="Q283" t="str">
            <v>4. Center</v>
          </cell>
          <cell r="R283" t="str">
            <v>STAFF CENTRO</v>
          </cell>
        </row>
        <row r="284">
          <cell r="Q284" t="str">
            <v>5. Southeast</v>
          </cell>
          <cell r="R284" t="str">
            <v>STAFF SURESTE</v>
          </cell>
        </row>
        <row r="285">
          <cell r="Q285" t="str">
            <v>1. Northwest</v>
          </cell>
          <cell r="R285" t="str">
            <v>STAFF NOROESTE</v>
          </cell>
        </row>
        <row r="286">
          <cell r="Q286" t="str">
            <v>2. Northeast</v>
          </cell>
          <cell r="R286" t="str">
            <v>STAFF NORESTE</v>
          </cell>
        </row>
        <row r="287">
          <cell r="Q287" t="str">
            <v>3. West</v>
          </cell>
          <cell r="R287" t="str">
            <v>STAFF WEST</v>
          </cell>
        </row>
        <row r="288">
          <cell r="Q288" t="str">
            <v>4. Center</v>
          </cell>
          <cell r="R288" t="str">
            <v>STAFF CENTRO</v>
          </cell>
        </row>
        <row r="289">
          <cell r="Q289" t="str">
            <v>5. Southeast</v>
          </cell>
          <cell r="R289" t="str">
            <v>STAFF SURESTE</v>
          </cell>
        </row>
        <row r="290">
          <cell r="Q290" t="str">
            <v>1. Northwest</v>
          </cell>
          <cell r="R290" t="str">
            <v>STAFF NOROESTE</v>
          </cell>
        </row>
        <row r="291">
          <cell r="Q291" t="str">
            <v>2. Northeast</v>
          </cell>
          <cell r="R291" t="str">
            <v>STAFF NORESTE</v>
          </cell>
        </row>
        <row r="292">
          <cell r="Q292" t="str">
            <v>3. West</v>
          </cell>
          <cell r="R292" t="str">
            <v>STAFF WEST</v>
          </cell>
        </row>
        <row r="293">
          <cell r="Q293" t="str">
            <v>4. Center</v>
          </cell>
          <cell r="R293" t="str">
            <v>STAFF CENTRO</v>
          </cell>
        </row>
        <row r="294">
          <cell r="Q294" t="str">
            <v>5. Southeast</v>
          </cell>
          <cell r="R294" t="str">
            <v>STAFF SURESTE</v>
          </cell>
        </row>
        <row r="295">
          <cell r="Q295" t="str">
            <v>1. Northwest</v>
          </cell>
          <cell r="R295" t="str">
            <v>STAFF NOROESTE</v>
          </cell>
        </row>
        <row r="296">
          <cell r="Q296" t="str">
            <v>2. Northeast</v>
          </cell>
          <cell r="R296" t="str">
            <v>STAFF NORESTE</v>
          </cell>
        </row>
        <row r="297">
          <cell r="Q297" t="str">
            <v>3. West</v>
          </cell>
          <cell r="R297" t="str">
            <v>STAFF WEST</v>
          </cell>
        </row>
        <row r="298">
          <cell r="Q298" t="str">
            <v>4. Center</v>
          </cell>
          <cell r="R298" t="str">
            <v>STAFF CENTRO</v>
          </cell>
        </row>
        <row r="299">
          <cell r="Q299" t="str">
            <v>5. Southeast</v>
          </cell>
          <cell r="R299" t="str">
            <v>STAFF SURESTE</v>
          </cell>
        </row>
        <row r="300">
          <cell r="Q300" t="str">
            <v>1. Northwest</v>
          </cell>
          <cell r="R300" t="str">
            <v>STAFF NOROESTE</v>
          </cell>
        </row>
        <row r="301">
          <cell r="Q301" t="str">
            <v>2. Northeast</v>
          </cell>
          <cell r="R301" t="str">
            <v>STAFF NORESTE</v>
          </cell>
        </row>
        <row r="302">
          <cell r="Q302" t="str">
            <v>3. West</v>
          </cell>
          <cell r="R302" t="str">
            <v>STAFF WEST</v>
          </cell>
        </row>
        <row r="303">
          <cell r="Q303" t="str">
            <v>4. Center</v>
          </cell>
          <cell r="R303" t="str">
            <v>STAFF CENTRO</v>
          </cell>
        </row>
        <row r="304">
          <cell r="Q304" t="str">
            <v>5. Southeast</v>
          </cell>
          <cell r="R304" t="str">
            <v>STAFF SURESTE</v>
          </cell>
        </row>
        <row r="305">
          <cell r="Q305" t="str">
            <v>1. Northwest</v>
          </cell>
          <cell r="R305" t="str">
            <v>STAFF NOROESTE</v>
          </cell>
        </row>
        <row r="306">
          <cell r="Q306" t="str">
            <v>2. Northeast</v>
          </cell>
          <cell r="R306" t="str">
            <v>STAFF NORESTE</v>
          </cell>
        </row>
        <row r="307">
          <cell r="Q307" t="str">
            <v>3. West</v>
          </cell>
          <cell r="R307" t="str">
            <v>STAFF WEST</v>
          </cell>
        </row>
        <row r="308">
          <cell r="Q308" t="str">
            <v>4. Center</v>
          </cell>
          <cell r="R308" t="str">
            <v>STAFF CENTRO</v>
          </cell>
        </row>
        <row r="309">
          <cell r="Q309" t="str">
            <v>5. Southeast</v>
          </cell>
          <cell r="R309" t="str">
            <v>STAFF SURESTE</v>
          </cell>
        </row>
        <row r="310">
          <cell r="Q310" t="str">
            <v>6. Staff Trade</v>
          </cell>
          <cell r="R310" t="str">
            <v>STAFF_TRADE</v>
          </cell>
        </row>
        <row r="311">
          <cell r="Q311" t="str">
            <v>1. Northwest</v>
          </cell>
          <cell r="R311" t="str">
            <v>STAFF NOROESTE</v>
          </cell>
        </row>
        <row r="312">
          <cell r="Q312" t="str">
            <v>2. Northeast</v>
          </cell>
          <cell r="R312" t="str">
            <v>STAFF NORESTE</v>
          </cell>
        </row>
        <row r="313">
          <cell r="Q313" t="str">
            <v>3. West</v>
          </cell>
          <cell r="R313" t="str">
            <v>STAFF WEST</v>
          </cell>
        </row>
        <row r="314">
          <cell r="Q314" t="str">
            <v>4. Center</v>
          </cell>
          <cell r="R314" t="str">
            <v>STAFF CENTRO</v>
          </cell>
        </row>
        <row r="315">
          <cell r="Q315" t="str">
            <v>5. Southeast</v>
          </cell>
          <cell r="R315" t="str">
            <v>STAFF SURESTE</v>
          </cell>
        </row>
        <row r="316">
          <cell r="Q316" t="str">
            <v>6. Staff Trade</v>
          </cell>
          <cell r="R316" t="str">
            <v>STAFF_TRADE</v>
          </cell>
        </row>
        <row r="317">
          <cell r="Q317" t="str">
            <v>6. Staff Trade</v>
          </cell>
          <cell r="R317" t="str">
            <v>STAFF_TRADE</v>
          </cell>
        </row>
        <row r="318">
          <cell r="Q318" t="str">
            <v>6. Staff Trade</v>
          </cell>
          <cell r="R318" t="str">
            <v>STAFF_TRADE</v>
          </cell>
        </row>
        <row r="319">
          <cell r="Q319" t="str">
            <v>1. Northwest</v>
          </cell>
          <cell r="R319" t="str">
            <v>STAFF NOROESTE</v>
          </cell>
        </row>
        <row r="320">
          <cell r="Q320" t="str">
            <v>2. Northeast</v>
          </cell>
          <cell r="R320" t="str">
            <v>STAFF NORESTE</v>
          </cell>
        </row>
        <row r="321">
          <cell r="Q321" t="str">
            <v>3. West</v>
          </cell>
          <cell r="R321" t="str">
            <v>STAFF WEST</v>
          </cell>
        </row>
        <row r="322">
          <cell r="Q322" t="str">
            <v>4. Center</v>
          </cell>
          <cell r="R322" t="str">
            <v>STAFF CENTRO</v>
          </cell>
        </row>
        <row r="323">
          <cell r="Q323" t="str">
            <v>5. Southeast</v>
          </cell>
          <cell r="R323" t="str">
            <v>STAFF SURESTE</v>
          </cell>
        </row>
        <row r="324">
          <cell r="Q324" t="str">
            <v>6. Staff Trade</v>
          </cell>
          <cell r="R324" t="str">
            <v>STAFF_TRADE</v>
          </cell>
        </row>
        <row r="325">
          <cell r="Q325" t="str">
            <v>6. Staff Trade</v>
          </cell>
          <cell r="R325" t="str">
            <v>STAFF_TRADE</v>
          </cell>
        </row>
        <row r="326">
          <cell r="Q326" t="str">
            <v>6. Staff Trade</v>
          </cell>
          <cell r="R326" t="str">
            <v>STAFF_TRADE</v>
          </cell>
        </row>
        <row r="327">
          <cell r="Q327" t="str">
            <v>6. Staff Trade</v>
          </cell>
          <cell r="R327" t="str">
            <v>STAFF_TRADE</v>
          </cell>
        </row>
        <row r="328">
          <cell r="Q328" t="str">
            <v>6. Staff Trade</v>
          </cell>
          <cell r="R328" t="str">
            <v>STAFF_TRADE</v>
          </cell>
        </row>
        <row r="329">
          <cell r="Q329" t="str">
            <v>6. Staff Trade</v>
          </cell>
          <cell r="R329" t="str">
            <v>STAFF_TRADE</v>
          </cell>
        </row>
        <row r="330">
          <cell r="Q330" t="str">
            <v>6. Staff Trade</v>
          </cell>
          <cell r="R330" t="str">
            <v>STAFF_TRADE</v>
          </cell>
        </row>
        <row r="331">
          <cell r="Q331" t="str">
            <v>6. Staff Trade</v>
          </cell>
          <cell r="R331" t="str">
            <v>STAFF_TRADE</v>
          </cell>
        </row>
        <row r="332">
          <cell r="Q332" t="str">
            <v>6. Staff Trade</v>
          </cell>
          <cell r="R332" t="str">
            <v>STAFF_TRADE</v>
          </cell>
        </row>
        <row r="333">
          <cell r="Q333" t="str">
            <v>6. Staff Trade</v>
          </cell>
          <cell r="R333" t="str">
            <v>STAFF_TRADE</v>
          </cell>
        </row>
        <row r="334">
          <cell r="Q334" t="str">
            <v>6. Staff Trade</v>
          </cell>
          <cell r="R334" t="str">
            <v>STAFF_TRADE</v>
          </cell>
        </row>
        <row r="335">
          <cell r="Q335" t="str">
            <v>6. Staff Trade</v>
          </cell>
          <cell r="R335" t="str">
            <v>STAFF_TRADE</v>
          </cell>
        </row>
        <row r="336">
          <cell r="Q336" t="str">
            <v>6. Staff Trade</v>
          </cell>
          <cell r="R336" t="str">
            <v>STAFF_TRADE</v>
          </cell>
        </row>
        <row r="337">
          <cell r="Q337" t="str">
            <v>6. Staff Trade</v>
          </cell>
          <cell r="R337" t="str">
            <v>STAFF_TRADE</v>
          </cell>
        </row>
        <row r="338">
          <cell r="Q338" t="str">
            <v>6. Staff Trade</v>
          </cell>
          <cell r="R338" t="str">
            <v>STAFF_TRADE</v>
          </cell>
        </row>
        <row r="339">
          <cell r="Q339" t="str">
            <v>6. Staff Trade</v>
          </cell>
          <cell r="R339" t="str">
            <v>STAFF_TRADE</v>
          </cell>
        </row>
        <row r="340">
          <cell r="Q340" t="str">
            <v>6. Staff Trade</v>
          </cell>
          <cell r="R340" t="str">
            <v>STAFF_TRADE</v>
          </cell>
        </row>
        <row r="341">
          <cell r="Q341" t="str">
            <v>6. Staff Trade</v>
          </cell>
          <cell r="R341" t="str">
            <v>STAFF_TRADE</v>
          </cell>
        </row>
        <row r="342">
          <cell r="Q342" t="str">
            <v>6. Staff Trade</v>
          </cell>
          <cell r="R342" t="str">
            <v>STAFF_TRADE</v>
          </cell>
        </row>
        <row r="343">
          <cell r="Q343" t="str">
            <v>2. Northeast</v>
          </cell>
          <cell r="R343" t="str">
            <v>Coahuila</v>
          </cell>
        </row>
        <row r="344">
          <cell r="Q344" t="str">
            <v>2. Northeast</v>
          </cell>
          <cell r="R344" t="str">
            <v>Coahuila</v>
          </cell>
        </row>
        <row r="345">
          <cell r="Q345" t="str">
            <v>2. Northeast</v>
          </cell>
          <cell r="R345" t="str">
            <v>Coahuila</v>
          </cell>
        </row>
        <row r="346">
          <cell r="Q346" t="str">
            <v>2. Northeast</v>
          </cell>
          <cell r="R346" t="str">
            <v>Coahuila</v>
          </cell>
        </row>
        <row r="347">
          <cell r="Q347" t="str">
            <v>2. Northeast</v>
          </cell>
          <cell r="R347" t="str">
            <v>Coahuila</v>
          </cell>
        </row>
        <row r="348">
          <cell r="Q348" t="str">
            <v>1. Northwest</v>
          </cell>
          <cell r="R348" t="str">
            <v>Juárez</v>
          </cell>
        </row>
        <row r="349">
          <cell r="Q349" t="str">
            <v>1. Northwest</v>
          </cell>
          <cell r="R349" t="str">
            <v>Juárez</v>
          </cell>
        </row>
        <row r="350">
          <cell r="Q350" t="str">
            <v>1. Northwest</v>
          </cell>
          <cell r="R350" t="str">
            <v>Juárez</v>
          </cell>
        </row>
        <row r="351">
          <cell r="Q351" t="str">
            <v>1. Northwest</v>
          </cell>
          <cell r="R351" t="str">
            <v>Juárez</v>
          </cell>
        </row>
        <row r="352">
          <cell r="Q352" t="str">
            <v>1. Northwest</v>
          </cell>
          <cell r="R352" t="str">
            <v>Juárez</v>
          </cell>
        </row>
        <row r="353">
          <cell r="Q353" t="str">
            <v>1. Northwest</v>
          </cell>
          <cell r="R353" t="str">
            <v>Baja California Sur</v>
          </cell>
        </row>
        <row r="354">
          <cell r="Q354" t="str">
            <v>1. Northwest</v>
          </cell>
          <cell r="R354" t="str">
            <v>Baja California Sur</v>
          </cell>
        </row>
        <row r="355">
          <cell r="Q355" t="str">
            <v>1. Northwest</v>
          </cell>
          <cell r="R355" t="str">
            <v>Baja California Sur</v>
          </cell>
        </row>
        <row r="356">
          <cell r="Q356" t="str">
            <v>1. Northwest</v>
          </cell>
          <cell r="R356" t="str">
            <v>Baja California Sur</v>
          </cell>
        </row>
        <row r="357">
          <cell r="Q357" t="str">
            <v>1. Northwest</v>
          </cell>
          <cell r="R357" t="str">
            <v>Baja California Sur</v>
          </cell>
        </row>
        <row r="358">
          <cell r="Q358" t="str">
            <v>1. Northwest</v>
          </cell>
          <cell r="R358" t="str">
            <v>Baja California Sur</v>
          </cell>
        </row>
        <row r="359">
          <cell r="Q359" t="str">
            <v>1. Northwest</v>
          </cell>
          <cell r="R359" t="str">
            <v>Sonora</v>
          </cell>
        </row>
        <row r="360">
          <cell r="Q360" t="str">
            <v>1. Northwest</v>
          </cell>
          <cell r="R360" t="str">
            <v>Sonora</v>
          </cell>
        </row>
        <row r="361">
          <cell r="Q361" t="str">
            <v>1. Northwest</v>
          </cell>
          <cell r="R361" t="str">
            <v>Sonora</v>
          </cell>
        </row>
        <row r="362">
          <cell r="Q362" t="str">
            <v>1. Northwest</v>
          </cell>
          <cell r="R362" t="str">
            <v>Sonora</v>
          </cell>
        </row>
        <row r="363">
          <cell r="Q363" t="str">
            <v>1. Northwest</v>
          </cell>
          <cell r="R363" t="str">
            <v>Sonora</v>
          </cell>
        </row>
        <row r="364">
          <cell r="Q364" t="str">
            <v>1. Northwest</v>
          </cell>
          <cell r="R364" t="str">
            <v>Sonora</v>
          </cell>
        </row>
        <row r="365">
          <cell r="Q365" t="str">
            <v>1. Northwest</v>
          </cell>
          <cell r="R365" t="str">
            <v>Chihuahua</v>
          </cell>
        </row>
        <row r="366">
          <cell r="Q366" t="str">
            <v>1. Northwest</v>
          </cell>
          <cell r="R366" t="str">
            <v>Chihuahua</v>
          </cell>
        </row>
        <row r="367">
          <cell r="Q367" t="str">
            <v>1. Northwest</v>
          </cell>
          <cell r="R367" t="str">
            <v>Chihuahua</v>
          </cell>
        </row>
        <row r="368">
          <cell r="Q368" t="str">
            <v>1. Northwest</v>
          </cell>
          <cell r="R368" t="str">
            <v>Chihuahua</v>
          </cell>
        </row>
        <row r="369">
          <cell r="Q369" t="str">
            <v>1. Northwest</v>
          </cell>
          <cell r="R369" t="str">
            <v>Chihuahua</v>
          </cell>
        </row>
        <row r="370">
          <cell r="Q370" t="str">
            <v>1. Northwest</v>
          </cell>
          <cell r="R370" t="str">
            <v>Chihuahua</v>
          </cell>
        </row>
        <row r="371">
          <cell r="Q371" t="str">
            <v>1. Northwest</v>
          </cell>
          <cell r="R371" t="str">
            <v>Sinaloa</v>
          </cell>
        </row>
        <row r="372">
          <cell r="Q372" t="str">
            <v>1. Northwest</v>
          </cell>
          <cell r="R372" t="str">
            <v>Sinaloa</v>
          </cell>
        </row>
        <row r="373">
          <cell r="Q373" t="str">
            <v>1. Northwest</v>
          </cell>
          <cell r="R373" t="str">
            <v>Sinaloa</v>
          </cell>
        </row>
        <row r="374">
          <cell r="Q374" t="str">
            <v>1. Northwest</v>
          </cell>
          <cell r="R374" t="str">
            <v>Sinaloa</v>
          </cell>
        </row>
        <row r="375">
          <cell r="Q375" t="str">
            <v>1. Northwest</v>
          </cell>
          <cell r="R375" t="str">
            <v>Sinaloa</v>
          </cell>
        </row>
        <row r="376">
          <cell r="Q376" t="str">
            <v>1. Northwest</v>
          </cell>
          <cell r="R376" t="str">
            <v>Sinaloa</v>
          </cell>
        </row>
        <row r="377">
          <cell r="Q377" t="str">
            <v>1. Northwest</v>
          </cell>
          <cell r="R377" t="str">
            <v>Baja California</v>
          </cell>
        </row>
        <row r="378">
          <cell r="Q378" t="str">
            <v>1. Northwest</v>
          </cell>
          <cell r="R378" t="str">
            <v>Baja California</v>
          </cell>
        </row>
        <row r="379">
          <cell r="Q379" t="str">
            <v>1. Northwest</v>
          </cell>
          <cell r="R379" t="str">
            <v>Baja California</v>
          </cell>
        </row>
        <row r="380">
          <cell r="Q380" t="str">
            <v>1. Northwest</v>
          </cell>
          <cell r="R380" t="str">
            <v>Baja California</v>
          </cell>
        </row>
        <row r="381">
          <cell r="Q381" t="str">
            <v>1. Northwest</v>
          </cell>
          <cell r="R381" t="str">
            <v>Baja California</v>
          </cell>
        </row>
        <row r="382">
          <cell r="Q382" t="str">
            <v>5. Southeast</v>
          </cell>
          <cell r="R382" t="str">
            <v>Yucatán - Campeche</v>
          </cell>
        </row>
        <row r="383">
          <cell r="Q383" t="str">
            <v>5. Southeast</v>
          </cell>
          <cell r="R383" t="str">
            <v>Yucatán - Campeche</v>
          </cell>
        </row>
        <row r="384">
          <cell r="Q384" t="str">
            <v>5. Southeast</v>
          </cell>
          <cell r="R384" t="str">
            <v>Yucatán - Campeche</v>
          </cell>
        </row>
        <row r="385">
          <cell r="Q385" t="str">
            <v>5. Southeast</v>
          </cell>
          <cell r="R385" t="str">
            <v>Yucatán - Campeche</v>
          </cell>
        </row>
        <row r="386">
          <cell r="Q386" t="str">
            <v>4. Center</v>
          </cell>
          <cell r="R386" t="str">
            <v>Puebla</v>
          </cell>
        </row>
        <row r="387">
          <cell r="Q387" t="str">
            <v>4. Center</v>
          </cell>
          <cell r="R387" t="str">
            <v>Puebla</v>
          </cell>
        </row>
        <row r="388">
          <cell r="Q388" t="str">
            <v>4. Center</v>
          </cell>
          <cell r="R388" t="str">
            <v>Puebla</v>
          </cell>
        </row>
        <row r="389">
          <cell r="Q389" t="str">
            <v>4. Center</v>
          </cell>
          <cell r="R389" t="str">
            <v>Puebla</v>
          </cell>
        </row>
        <row r="390">
          <cell r="Q390" t="str">
            <v>5. Southeast</v>
          </cell>
          <cell r="R390" t="str">
            <v>Veracruz Centro</v>
          </cell>
        </row>
        <row r="391">
          <cell r="Q391" t="str">
            <v>5. Southeast</v>
          </cell>
          <cell r="R391" t="str">
            <v>Veracruz Centro</v>
          </cell>
        </row>
        <row r="392">
          <cell r="Q392" t="str">
            <v>5. Southeast</v>
          </cell>
          <cell r="R392" t="str">
            <v>Veracruz Centro</v>
          </cell>
        </row>
        <row r="393">
          <cell r="Q393" t="str">
            <v>5. Southeast</v>
          </cell>
          <cell r="R393" t="str">
            <v>Veracruz Centro</v>
          </cell>
        </row>
        <row r="394">
          <cell r="Q394" t="str">
            <v>5. Southeast</v>
          </cell>
          <cell r="R394" t="str">
            <v>Quintana Roo</v>
          </cell>
        </row>
        <row r="395">
          <cell r="Q395" t="str">
            <v>5. Southeast</v>
          </cell>
          <cell r="R395" t="str">
            <v>Quintana Roo</v>
          </cell>
        </row>
        <row r="396">
          <cell r="Q396" t="str">
            <v>5. Southeast</v>
          </cell>
          <cell r="R396" t="str">
            <v>Quintana Roo</v>
          </cell>
        </row>
        <row r="397">
          <cell r="Q397" t="str">
            <v>5. Southeast</v>
          </cell>
          <cell r="R397" t="str">
            <v>Quintana Roo</v>
          </cell>
        </row>
        <row r="398">
          <cell r="Q398" t="str">
            <v>4. Center</v>
          </cell>
          <cell r="R398" t="str">
            <v>Hidalgo</v>
          </cell>
        </row>
        <row r="399">
          <cell r="Q399" t="str">
            <v>4. Center</v>
          </cell>
          <cell r="R399" t="str">
            <v>Hidalgo</v>
          </cell>
        </row>
        <row r="400">
          <cell r="Q400" t="str">
            <v>4. Center</v>
          </cell>
          <cell r="R400" t="str">
            <v>Hidalgo</v>
          </cell>
        </row>
        <row r="401">
          <cell r="Q401" t="str">
            <v>4. Center</v>
          </cell>
          <cell r="R401" t="str">
            <v>Hidalgo</v>
          </cell>
        </row>
        <row r="402">
          <cell r="Q402" t="str">
            <v>5. Southeast</v>
          </cell>
          <cell r="R402" t="str">
            <v>Tabasco - Veracruz Sur</v>
          </cell>
        </row>
        <row r="403">
          <cell r="Q403" t="str">
            <v>5. Southeast</v>
          </cell>
          <cell r="R403" t="str">
            <v>Tabasco - Veracruz Sur</v>
          </cell>
        </row>
        <row r="404">
          <cell r="Q404" t="str">
            <v>5. Southeast</v>
          </cell>
          <cell r="R404" t="str">
            <v>Tabasco - Veracruz Sur</v>
          </cell>
        </row>
        <row r="405">
          <cell r="Q405" t="str">
            <v>5. Southeast</v>
          </cell>
          <cell r="R405" t="str">
            <v>Tabasco - Veracruz Sur</v>
          </cell>
        </row>
        <row r="406">
          <cell r="Q406" t="str">
            <v>4. Center</v>
          </cell>
          <cell r="R406" t="str">
            <v>Edo. de México</v>
          </cell>
        </row>
        <row r="407">
          <cell r="Q407" t="str">
            <v>4. Center</v>
          </cell>
          <cell r="R407" t="str">
            <v>Edo. de México</v>
          </cell>
        </row>
        <row r="408">
          <cell r="Q408" t="str">
            <v>4. Center</v>
          </cell>
          <cell r="R408" t="str">
            <v>Edo. de México</v>
          </cell>
        </row>
        <row r="409">
          <cell r="Q409" t="str">
            <v>4. Center</v>
          </cell>
          <cell r="R409" t="str">
            <v>Edo. de México</v>
          </cell>
        </row>
        <row r="410">
          <cell r="Q410" t="str">
            <v>4. Center</v>
          </cell>
          <cell r="R410" t="str">
            <v>Guerrero - Morelos</v>
          </cell>
        </row>
        <row r="411">
          <cell r="Q411" t="str">
            <v>4. Center</v>
          </cell>
          <cell r="R411" t="str">
            <v>Guerrero - Morelos</v>
          </cell>
        </row>
        <row r="412">
          <cell r="Q412" t="str">
            <v>4. Center</v>
          </cell>
          <cell r="R412" t="str">
            <v>Guerrero - Morelos</v>
          </cell>
        </row>
        <row r="413">
          <cell r="Q413" t="str">
            <v>4. Center</v>
          </cell>
          <cell r="R413" t="str">
            <v>Guerrero - Morelos</v>
          </cell>
        </row>
        <row r="414">
          <cell r="Q414" t="str">
            <v>5. Southeast</v>
          </cell>
          <cell r="R414" t="str">
            <v>Franq Chiapas</v>
          </cell>
        </row>
        <row r="415">
          <cell r="Q415" t="str">
            <v>4. Center</v>
          </cell>
          <cell r="R415" t="str">
            <v>VDM</v>
          </cell>
        </row>
        <row r="416">
          <cell r="Q416" t="str">
            <v>4. Center</v>
          </cell>
          <cell r="R416" t="str">
            <v>VDM</v>
          </cell>
        </row>
        <row r="417">
          <cell r="Q417" t="str">
            <v>4. Center</v>
          </cell>
          <cell r="R417" t="str">
            <v>VDM</v>
          </cell>
        </row>
        <row r="418">
          <cell r="Q418" t="str">
            <v>4. Center</v>
          </cell>
          <cell r="R418" t="str">
            <v>VDM</v>
          </cell>
        </row>
        <row r="419">
          <cell r="Q419" t="str">
            <v>5. Southeast</v>
          </cell>
          <cell r="R419" t="str">
            <v>Oaxaca</v>
          </cell>
        </row>
        <row r="420">
          <cell r="Q420" t="str">
            <v>5. Southeast</v>
          </cell>
          <cell r="R420" t="str">
            <v>Oaxaca</v>
          </cell>
        </row>
        <row r="421">
          <cell r="Q421" t="str">
            <v>5. Southeast</v>
          </cell>
          <cell r="R421" t="str">
            <v>Oaxaca</v>
          </cell>
        </row>
        <row r="422">
          <cell r="Q422" t="str">
            <v>5. Southeast</v>
          </cell>
          <cell r="R422" t="str">
            <v>Oaxaca</v>
          </cell>
        </row>
        <row r="423">
          <cell r="Q423" t="str">
            <v>3. West</v>
          </cell>
          <cell r="R423" t="str">
            <v>SLP - AGS - ZAC</v>
          </cell>
        </row>
        <row r="424">
          <cell r="Q424" t="str">
            <v>3. West</v>
          </cell>
          <cell r="R424" t="str">
            <v>SLP - AGS - ZAC</v>
          </cell>
        </row>
        <row r="425">
          <cell r="Q425" t="str">
            <v>3. West</v>
          </cell>
          <cell r="R425" t="str">
            <v>SLP - AGS - ZAC</v>
          </cell>
        </row>
        <row r="426">
          <cell r="Q426" t="str">
            <v>3. West</v>
          </cell>
          <cell r="R426" t="str">
            <v>SLP - AGS - ZAC</v>
          </cell>
        </row>
        <row r="427">
          <cell r="Q427" t="str">
            <v>3. West</v>
          </cell>
          <cell r="R427" t="str">
            <v>Guanajuato - Querétaro</v>
          </cell>
        </row>
        <row r="428">
          <cell r="Q428" t="str">
            <v>3. West</v>
          </cell>
          <cell r="R428" t="str">
            <v>Guanajuato - Querétaro</v>
          </cell>
        </row>
        <row r="429">
          <cell r="Q429" t="str">
            <v>3. West</v>
          </cell>
          <cell r="R429" t="str">
            <v>Guanajuato - Querétaro</v>
          </cell>
        </row>
        <row r="430">
          <cell r="Q430" t="str">
            <v>3. West</v>
          </cell>
          <cell r="R430" t="str">
            <v>Guanajuato - Querétaro</v>
          </cell>
        </row>
        <row r="431">
          <cell r="Q431" t="str">
            <v>3. West</v>
          </cell>
          <cell r="R431" t="str">
            <v>Guanajuato - Querétaro</v>
          </cell>
        </row>
        <row r="432">
          <cell r="Q432" t="str">
            <v>3. West</v>
          </cell>
          <cell r="R432" t="str">
            <v>Jalisco - Colima - Nayarit</v>
          </cell>
        </row>
        <row r="433">
          <cell r="Q433" t="str">
            <v>3. West</v>
          </cell>
          <cell r="R433" t="str">
            <v>Jalisco - Colima - Nayarit</v>
          </cell>
        </row>
        <row r="434">
          <cell r="Q434" t="str">
            <v>3. West</v>
          </cell>
          <cell r="R434" t="str">
            <v>Jalisco - Colima - Nayarit</v>
          </cell>
        </row>
        <row r="435">
          <cell r="Q435" t="str">
            <v>3. West</v>
          </cell>
          <cell r="R435" t="str">
            <v>Jalisco - Colima - Nayarit</v>
          </cell>
        </row>
        <row r="436">
          <cell r="Q436" t="str">
            <v>2. Northeast</v>
          </cell>
          <cell r="R436" t="str">
            <v>Durango</v>
          </cell>
        </row>
        <row r="437">
          <cell r="Q437" t="str">
            <v>2. Northeast</v>
          </cell>
          <cell r="R437" t="str">
            <v>Durango</v>
          </cell>
        </row>
        <row r="438">
          <cell r="Q438" t="str">
            <v>2. Northeast</v>
          </cell>
          <cell r="R438" t="str">
            <v>Durango</v>
          </cell>
        </row>
        <row r="439">
          <cell r="Q439" t="str">
            <v>2. Northeast</v>
          </cell>
          <cell r="R439" t="str">
            <v>Durango</v>
          </cell>
        </row>
        <row r="440">
          <cell r="Q440" t="str">
            <v>2. Northeast</v>
          </cell>
          <cell r="R440" t="str">
            <v>Durango</v>
          </cell>
        </row>
        <row r="441">
          <cell r="Q441" t="str">
            <v>2. Northeast</v>
          </cell>
          <cell r="R441" t="str">
            <v>Tamaulipas Sur</v>
          </cell>
        </row>
        <row r="442">
          <cell r="Q442" t="str">
            <v>2. Northeast</v>
          </cell>
          <cell r="R442" t="str">
            <v>Tamaulipas Sur</v>
          </cell>
        </row>
        <row r="443">
          <cell r="Q443" t="str">
            <v>2. Northeast</v>
          </cell>
          <cell r="R443" t="str">
            <v>Tamaulipas Sur</v>
          </cell>
        </row>
        <row r="444">
          <cell r="Q444" t="str">
            <v>2. Northeast</v>
          </cell>
          <cell r="R444" t="str">
            <v>Tamaulipas Sur</v>
          </cell>
        </row>
        <row r="445">
          <cell r="Q445" t="str">
            <v>2. Northeast</v>
          </cell>
          <cell r="R445" t="str">
            <v>Nuevo León</v>
          </cell>
        </row>
        <row r="446">
          <cell r="Q446" t="str">
            <v>2. Northeast</v>
          </cell>
          <cell r="R446" t="str">
            <v>Nuevo León</v>
          </cell>
        </row>
        <row r="447">
          <cell r="Q447" t="str">
            <v>2. Northeast</v>
          </cell>
          <cell r="R447" t="str">
            <v>Nuevo León</v>
          </cell>
        </row>
        <row r="448">
          <cell r="Q448" t="str">
            <v>2. Northeast</v>
          </cell>
          <cell r="R448" t="str">
            <v>Nuevo León</v>
          </cell>
        </row>
        <row r="449">
          <cell r="Q449" t="str">
            <v>2. Northeast</v>
          </cell>
          <cell r="R449" t="str">
            <v>Nuevo León</v>
          </cell>
        </row>
        <row r="450">
          <cell r="Q450" t="str">
            <v>2. Northeast</v>
          </cell>
          <cell r="R450" t="str">
            <v>Tamaulipas Nte</v>
          </cell>
        </row>
        <row r="451">
          <cell r="Q451" t="str">
            <v>2. Northeast</v>
          </cell>
          <cell r="R451" t="str">
            <v>Tamaulipas Nte</v>
          </cell>
        </row>
        <row r="452">
          <cell r="Q452" t="str">
            <v>2. Northeast</v>
          </cell>
          <cell r="R452" t="str">
            <v>Tamaulipas Nte</v>
          </cell>
        </row>
        <row r="453">
          <cell r="Q453" t="str">
            <v>2. Northeast</v>
          </cell>
          <cell r="R453" t="str">
            <v>Tamaulipas Nte</v>
          </cell>
        </row>
        <row r="454">
          <cell r="Q454" t="str">
            <v>6. Staff Trade</v>
          </cell>
          <cell r="R454" t="str">
            <v>STAFF_TRADE</v>
          </cell>
        </row>
        <row r="455">
          <cell r="Q455" t="str">
            <v>3. West</v>
          </cell>
          <cell r="R455" t="str">
            <v>Michoacán</v>
          </cell>
        </row>
        <row r="456">
          <cell r="Q456" t="str">
            <v>3. West</v>
          </cell>
          <cell r="R456" t="str">
            <v>Michoacán</v>
          </cell>
        </row>
        <row r="457">
          <cell r="Q457" t="str">
            <v>3. West</v>
          </cell>
          <cell r="R457" t="str">
            <v>Michoacán</v>
          </cell>
        </row>
        <row r="458">
          <cell r="Q458" t="str">
            <v>3. West</v>
          </cell>
          <cell r="R458" t="str">
            <v>Michoacán</v>
          </cell>
        </row>
        <row r="459">
          <cell r="Q459" t="str">
            <v>3. West</v>
          </cell>
          <cell r="R459" t="str">
            <v>Jalisco - Colima - Nayarit</v>
          </cell>
        </row>
        <row r="460">
          <cell r="Q460" t="str">
            <v>2. Northeast</v>
          </cell>
          <cell r="R460" t="str">
            <v>Nuevo León</v>
          </cell>
        </row>
        <row r="461">
          <cell r="Q461" t="str">
            <v>2. Northeast</v>
          </cell>
          <cell r="R461" t="str">
            <v>Tamaulipas Nte</v>
          </cell>
        </row>
        <row r="462">
          <cell r="Q462" t="str">
            <v>5. Southeast</v>
          </cell>
          <cell r="R462" t="str">
            <v>Oaxaca</v>
          </cell>
        </row>
        <row r="463">
          <cell r="Q463" t="str">
            <v>3. West</v>
          </cell>
          <cell r="R463" t="str">
            <v>Guanajuato - Querétaro</v>
          </cell>
        </row>
        <row r="464">
          <cell r="Q464" t="str">
            <v>5. Southeast</v>
          </cell>
          <cell r="R464" t="str">
            <v>Veracruz Centro</v>
          </cell>
        </row>
        <row r="465">
          <cell r="Q465" t="str">
            <v>5. Southeast</v>
          </cell>
          <cell r="R465" t="str">
            <v>Quintana Roo</v>
          </cell>
        </row>
        <row r="466">
          <cell r="Q466" t="str">
            <v>3. West</v>
          </cell>
          <cell r="R466" t="str">
            <v>SLP - AGS - ZAC</v>
          </cell>
        </row>
        <row r="467">
          <cell r="Q467" t="str">
            <v>5. Southeast</v>
          </cell>
          <cell r="R467" t="str">
            <v>Tabasco - Veracruz Sur</v>
          </cell>
        </row>
        <row r="468">
          <cell r="Q468" t="str">
            <v>6. Staff Trade</v>
          </cell>
          <cell r="R468" t="str">
            <v>STAFF_TRADE</v>
          </cell>
        </row>
        <row r="469">
          <cell r="Q469" t="str">
            <v>6. Staff Trade</v>
          </cell>
          <cell r="R469" t="str">
            <v>STAFF_TRADE</v>
          </cell>
        </row>
        <row r="470">
          <cell r="Q470" t="str">
            <v>6. Staff Trade</v>
          </cell>
          <cell r="R470" t="str">
            <v>STAFF_TRADE</v>
          </cell>
        </row>
        <row r="471">
          <cell r="Q471" t="str">
            <v>6. Staff Trade</v>
          </cell>
          <cell r="R471" t="str">
            <v>STAFF_TRADE</v>
          </cell>
        </row>
        <row r="472">
          <cell r="Q472" t="str">
            <v>6. Staff Trade</v>
          </cell>
          <cell r="R472" t="str">
            <v>STAFF_TRADE</v>
          </cell>
        </row>
        <row r="473">
          <cell r="Q473" t="str">
            <v>1. Northwest</v>
          </cell>
          <cell r="R473" t="str">
            <v>STAFF NOROESTE</v>
          </cell>
        </row>
        <row r="474">
          <cell r="Q474" t="str">
            <v>2. Northeast</v>
          </cell>
          <cell r="R474" t="str">
            <v>STAFF NORESTE</v>
          </cell>
        </row>
        <row r="475">
          <cell r="Q475" t="str">
            <v>1. Northwest</v>
          </cell>
          <cell r="R475" t="str">
            <v>STAFF NOROESTE</v>
          </cell>
        </row>
        <row r="476">
          <cell r="Q476" t="str">
            <v>2. Northeast</v>
          </cell>
          <cell r="R476" t="str">
            <v>STAFF NORESTE</v>
          </cell>
        </row>
        <row r="477">
          <cell r="Q477" t="str">
            <v>3. West</v>
          </cell>
          <cell r="R477" t="str">
            <v>STAFF OCCIDENTE</v>
          </cell>
        </row>
        <row r="478">
          <cell r="Q478" t="str">
            <v>4. Center</v>
          </cell>
          <cell r="R478" t="str">
            <v>STAFF CENTRO</v>
          </cell>
        </row>
        <row r="479">
          <cell r="Q479" t="str">
            <v>5. Southeast</v>
          </cell>
          <cell r="R479" t="str">
            <v>STAFF SURESTE</v>
          </cell>
        </row>
        <row r="480">
          <cell r="Q480" t="str">
            <v>3. West</v>
          </cell>
          <cell r="R480" t="str">
            <v>STAFF WEST</v>
          </cell>
        </row>
        <row r="481">
          <cell r="Q481" t="str">
            <v>1. Northwest</v>
          </cell>
          <cell r="R481" t="str">
            <v>STAFF NOROESTE</v>
          </cell>
        </row>
        <row r="482">
          <cell r="Q482" t="str">
            <v>2. Northeast</v>
          </cell>
          <cell r="R482" t="str">
            <v>STAFF NORESTE</v>
          </cell>
        </row>
        <row r="483">
          <cell r="Q483" t="str">
            <v>3. West</v>
          </cell>
          <cell r="R483" t="str">
            <v>STAFF OCCIDENTE</v>
          </cell>
        </row>
        <row r="484">
          <cell r="Q484" t="str">
            <v>4. Center</v>
          </cell>
          <cell r="R484" t="str">
            <v>STAFF CENTRO</v>
          </cell>
        </row>
        <row r="485">
          <cell r="Q485" t="str">
            <v>5. Southeast</v>
          </cell>
          <cell r="R485" t="str">
            <v>STAFF SURESTE</v>
          </cell>
        </row>
        <row r="486">
          <cell r="Q486" t="str">
            <v>3. West</v>
          </cell>
          <cell r="R486" t="str">
            <v>STAFF WEST</v>
          </cell>
        </row>
        <row r="487">
          <cell r="Q487" t="str">
            <v>6. Staff Trade</v>
          </cell>
          <cell r="R487" t="str">
            <v>STAFF_TRADE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ondra Campos" refreshedDate="46269.520590162036" createdVersion="5" refreshedVersion="8" minRefreshableVersion="3" recordCount="1001" xr:uid="{00000000-000A-0000-FFFF-FFFF62000000}">
  <cacheSource type="worksheet">
    <worksheetSource ref="A1:P1048576" sheet="Registro Ordenes"/>
  </cacheSource>
  <cacheFields count="16">
    <cacheField name="Proveedor" numFmtId="0">
      <sharedItems containsBlank="1" containsMixedTypes="1" containsNumber="1" containsInteger="1" minValue="0" maxValue="4010269" count="6">
        <n v="0"/>
        <s v=""/>
        <m/>
        <n v="4010269" u="1"/>
        <n v="402053" u="1"/>
        <n v="123456" u="1"/>
      </sharedItems>
    </cacheField>
    <cacheField name="GZ" numFmtId="0">
      <sharedItems containsBlank="1" count="13">
        <s v="TAMAULIPAS SUR-VER NTE"/>
        <s v=""/>
        <m/>
        <s v="BCS" u="1"/>
        <s v="JUAREZ" u="1"/>
        <s v="EDO DE MEXICO" u="1"/>
        <s v="JALISCO-COLIMA-NAYARIT" u="1"/>
        <s v="NUEVO LEON" u="1"/>
        <s v="AGS-ZAC-SLP" u="1"/>
        <s v="VDM" u="1"/>
        <s v="SONORA" u="1"/>
        <s v="CHIHUAHUA" u="1"/>
        <s v="AGS-ZAC" u="1"/>
      </sharedItems>
    </cacheField>
    <cacheField name="Periodo" numFmtId="0">
      <sharedItems containsBlank="1" count="11">
        <s v="S1926"/>
        <s v=""/>
        <m/>
        <s v="S0326" u="1"/>
        <s v="S0226" u="1"/>
        <s v="S0125" u="1"/>
        <s v="S0222" u="1"/>
        <s v="S0919" u="1"/>
        <s v="S0121" u="1"/>
        <s v="S0120" u="1"/>
        <s v="S1219" u="1"/>
      </sharedItems>
    </cacheField>
    <cacheField name="SelGZ" numFmtId="0">
      <sharedItems containsBlank="1"/>
    </cacheField>
    <cacheField name="Tipo de Servicio" numFmtId="0">
      <sharedItems containsBlank="1" count="20">
        <s v="COMPRA TANQUE CO2 - BARRIL"/>
        <s v="MTTO CORRECTIVO RUTA - BARRIL"/>
        <s v="FLETE MOV GZ A GZ - ENFRIADOR"/>
        <m/>
        <s v="FLETES-TALLER - MOVIMIENTOS"/>
        <s v="INSTALACION - ENFRIADOR"/>
        <s v="MTTO CORRECTIVO RUTA - ENFRIADOR" u="1"/>
        <s v="MTTO CORRECTIVO RUTA - MAQUINA HIELO" u="1"/>
        <s v="MTTO PREVENTIVO RUTA - MAQUINA HIELO" u="1"/>
        <s v="MTTO CORRECTIVO PISO - BARRIL" u="1"/>
        <s v="MTTO CORRECTIVO PISO - MAQUINA HIELO" u="1"/>
        <s v="MTTO CORRECTIVO RUTA" u="1"/>
        <s v="DOOR TO DOOR - ALMACENAMIENTO" u="1"/>
        <s v="MTTO CORRECTIVO RUTA - CUARTO FRIO" u="1"/>
        <s v="MTTO CORRECTIVO PISO - ENFRIADOR" u="1"/>
        <s v="RETIRO - MOBILIARIO" u="1"/>
        <s v="INSTALACION - MOBILIARIO" u="1"/>
        <s v="RECARGA CO2 - BARRIL" u="1"/>
        <s v="RETIRO - BARRIL" u="1"/>
        <s v="RETIRO - ENFRIADOR" u="1"/>
      </sharedItems>
    </cacheField>
    <cacheField name="PEP" numFmtId="0">
      <sharedItems containsBlank="1" count="22">
        <s v=""/>
        <s v="M/MXCM/26/CG1J/C2/815/02"/>
        <s v="M/MXCM/26/GA6B/C6/815/03"/>
        <s v="M/MXCM/26/CG1J/C2/815/01"/>
        <m/>
        <s v="M/MXCM/26/CHO8/C1/815/01" u="1"/>
        <s v="M/MXCM/26/CHO8/C1/815/02" u="1"/>
        <s v="M/MXCM/26/CHO8/C1/815/06" u="1"/>
        <s v="M/MXCM/26/CC4D/C1/815/05" u="1"/>
        <s v="M/MXCM/26/CC4D/C1/815/04" u="1"/>
        <s v="M/MXCM/26/CE0P/C4/815/04" u="1"/>
        <s v="M/MXCM/26/CE0P/C4/815/03" u="1"/>
        <s v="M/MXCM/26/CF0O/C3/815/05" u="1"/>
        <s v="M/MXCM/26/CG7L/C2/815/04" u="1"/>
        <s v="M/MXCM/26/CF9D/C3/815/04" u="1"/>
        <s v="M/MXCM/26/CF9D/C3/815/03" u="1"/>
        <s v="M/MXCM/26/CF9D/C3/815/05" u="1"/>
        <s v="M/MXCM/26/CG7L/C2/815/05" u="1"/>
        <s v="M/MXCM/26/CG7L/C2/815/03" u="1"/>
        <s v="M/MXCM/26/GA6B/C6/815/05" u="1"/>
        <s v="M/MXCM/26/CE6W/C4/815/04" u="1"/>
        <s v="M/MXCM/26/CE6W/C4/815/03" u="1"/>
      </sharedItems>
    </cacheField>
    <cacheField name="Nombre el PEP" numFmtId="0">
      <sharedItems containsBlank="1" count="8">
        <s v=""/>
        <s v="MTTO BARRIL"/>
        <s v="MOVIMIENTOS FLETES NAC"/>
        <s v="MOVIMIENTOS"/>
        <m/>
        <s v="BARRIL CO2 " u="1"/>
        <s v="MTTO ENFRIADORES" u="1"/>
        <s v="MTTO MAQUINA HIELO" u="1"/>
      </sharedItems>
    </cacheField>
    <cacheField name="Aviso" numFmtId="0">
      <sharedItems containsNonDate="0" containsString="0" containsBlank="1" containsNumber="1" containsInteger="1" minValue="341" maxValue="99999999999" count="7">
        <m/>
        <n v="30005829448" u="1"/>
        <n v="30005840328" u="1"/>
        <n v="30005833329" u="1"/>
        <n v="99999999999" u="1"/>
        <n v="341" u="1"/>
        <n v="134562356" u="1"/>
      </sharedItems>
    </cacheField>
    <cacheField name="Orden" numFmtId="0">
      <sharedItems containsString="0" containsBlank="1" containsNumber="1" containsInteger="1" minValue="456" maxValue="456"/>
    </cacheField>
    <cacheField name="Cliente" numFmtId="0">
      <sharedItems containsNonDate="0" containsString="0" containsBlank="1"/>
    </cacheField>
    <cacheField name="Equipo" numFmtId="1">
      <sharedItems containsNonDate="0" containsString="0" containsBlank="1"/>
    </cacheField>
    <cacheField name="Serie" numFmtId="0">
      <sharedItems containsNonDate="0" containsString="0" containsBlank="1"/>
    </cacheField>
    <cacheField name="Fecha Cierre" numFmtId="14">
      <sharedItems containsNonDate="0" containsString="0" containsBlank="1"/>
    </cacheField>
    <cacheField name="Costo Servicio" numFmtId="164">
      <sharedItems containsString="0" containsBlank="1" containsNumber="1" containsInteger="1" minValue="130" maxValue="130"/>
    </cacheField>
    <cacheField name="Refacciones" numFmtId="164">
      <sharedItems containsString="0" containsBlank="1" containsNumber="1" containsInteger="1" minValue="0" maxValue="0"/>
    </cacheField>
    <cacheField name="Total" numFmtId="164">
      <sharedItems containsString="0" containsBlank="1" containsNumber="1" containsInteger="1" minValue="0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x v="0"/>
    <x v="0"/>
    <s v="TAMAULIPAS SUR-VER NTE"/>
    <x v="0"/>
    <x v="0"/>
    <x v="0"/>
    <x v="0"/>
    <m/>
    <m/>
    <m/>
    <m/>
    <m/>
    <m/>
    <n v="0"/>
    <n v="0"/>
  </r>
  <r>
    <x v="0"/>
    <x v="0"/>
    <x v="0"/>
    <s v="TAMAULIPAS SUR-VER NTE"/>
    <x v="1"/>
    <x v="1"/>
    <x v="1"/>
    <x v="0"/>
    <m/>
    <m/>
    <m/>
    <m/>
    <m/>
    <m/>
    <n v="0"/>
    <n v="0"/>
  </r>
  <r>
    <x v="0"/>
    <x v="0"/>
    <x v="0"/>
    <s v="TAMAULIPAS SUR-VER NTE"/>
    <x v="2"/>
    <x v="2"/>
    <x v="2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0"/>
    <x v="0"/>
    <x v="0"/>
    <s v="TAMAULIPAS SUR-VER NTE"/>
    <x v="4"/>
    <x v="3"/>
    <x v="3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0"/>
    <x v="0"/>
    <x v="0"/>
    <s v="TAMAULIPAS SUR-VER NTE"/>
    <x v="4"/>
    <x v="3"/>
    <x v="3"/>
    <x v="0"/>
    <m/>
    <m/>
    <m/>
    <m/>
    <m/>
    <m/>
    <n v="0"/>
    <n v="0"/>
  </r>
  <r>
    <x v="0"/>
    <x v="0"/>
    <x v="0"/>
    <s v="TAMAULIPAS SUR-VER NTE"/>
    <x v="5"/>
    <x v="3"/>
    <x v="3"/>
    <x v="0"/>
    <n v="456"/>
    <m/>
    <m/>
    <m/>
    <m/>
    <n v="130"/>
    <n v="0"/>
    <n v="13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1"/>
    <x v="1"/>
    <x v="1"/>
    <s v=""/>
    <x v="3"/>
    <x v="0"/>
    <x v="0"/>
    <x v="0"/>
    <m/>
    <m/>
    <m/>
    <m/>
    <m/>
    <m/>
    <n v="0"/>
    <n v="0"/>
  </r>
  <r>
    <x v="2"/>
    <x v="2"/>
    <x v="2"/>
    <m/>
    <x v="3"/>
    <x v="4"/>
    <x v="4"/>
    <x v="0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2" cacheId="702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compact="0" compactData="0" gridDropZones="1" multipleFieldFilters="0">
  <location ref="A3:G10" firstHeaderRow="2" firstDataRow="2" firstDataCol="6" rowPageCount="1" colPageCount="1"/>
  <pivotFields count="16">
    <pivotField axis="axisRow" compact="0" outline="0" showAll="0" defaultSubtotal="0">
      <items count="6">
        <item m="1" x="5"/>
        <item h="1" x="1"/>
        <item h="1" x="2"/>
        <item x="0"/>
        <item m="1" x="4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">
        <item x="1"/>
        <item m="1" x="11"/>
        <item x="2"/>
        <item m="1" x="12"/>
        <item m="1" x="7"/>
        <item m="1" x="10"/>
        <item m="1" x="9"/>
        <item m="1" x="8"/>
        <item m="1" x="6"/>
        <item m="1" x="5"/>
        <item m="1" x="4"/>
        <item m="1"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1">
        <item x="1"/>
        <item m="1" x="10"/>
        <item x="2"/>
        <item m="1" x="7"/>
        <item m="1" x="9"/>
        <item m="1" x="8"/>
        <item m="1" x="6"/>
        <item sd="0" m="1" x="5"/>
        <item m="1" x="4"/>
        <item m="1"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/>
    <pivotField axis="axisRow" compact="0" outline="0" showAll="0" defaultSubtotal="0">
      <items count="20">
        <item x="5"/>
        <item m="1" x="11"/>
        <item m="1" x="6"/>
        <item x="3"/>
        <item m="1" x="14"/>
        <item m="1" x="17"/>
        <item m="1" x="19"/>
        <item m="1" x="16"/>
        <item m="1" x="15"/>
        <item m="1" x="7"/>
        <item m="1" x="18"/>
        <item x="1"/>
        <item m="1" x="13"/>
        <item m="1" x="12"/>
        <item m="1" x="9"/>
        <item m="1" x="10"/>
        <item m="1" x="8"/>
        <item x="0"/>
        <item x="2"/>
        <item x="4"/>
      </items>
    </pivotField>
    <pivotField axis="axisRow" compact="0" outline="0" showAll="0" defaultSubtotal="0">
      <items count="22">
        <item x="0"/>
        <item m="1" x="20"/>
        <item x="4"/>
        <item m="1" x="21"/>
        <item m="1" x="17"/>
        <item m="1" x="18"/>
        <item m="1" x="19"/>
        <item m="1" x="14"/>
        <item m="1" x="15"/>
        <item m="1" x="16"/>
        <item m="1" x="13"/>
        <item m="1" x="12"/>
        <item m="1" x="10"/>
        <item m="1" x="11"/>
        <item m="1" x="8"/>
        <item m="1" x="9"/>
        <item m="1" x="5"/>
        <item m="1" x="6"/>
        <item x="2"/>
        <item m="1" x="7"/>
        <item x="1"/>
        <item x="3"/>
      </items>
    </pivotField>
    <pivotField axis="axisRow" compact="0" outline="0" showAll="0" defaultSubtotal="0">
      <items count="8">
        <item x="0"/>
        <item x="1"/>
        <item m="1" x="6"/>
        <item m="1" x="7"/>
        <item x="4"/>
        <item m="1" x="5"/>
        <item x="2"/>
        <item x="3"/>
      </items>
    </pivotField>
    <pivotField axis="axisPage" compact="0" outline="0" multipleItemSelectionAllowed="1" showAll="0" defaultSubtotal="0">
      <items count="7">
        <item m="1" x="4"/>
        <item x="0"/>
        <item m="1" x="5"/>
        <item m="1" x="6"/>
        <item m="1" x="1"/>
        <item m="1" x="2"/>
        <item m="1" x="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6">
    <field x="0"/>
    <field x="1"/>
    <field x="2"/>
    <field x="4"/>
    <field x="5"/>
    <field x="6"/>
  </rowFields>
  <rowItems count="6">
    <i>
      <x v="3"/>
      <x v="12"/>
      <x v="10"/>
      <x/>
      <x v="21"/>
      <x v="7"/>
    </i>
    <i r="3">
      <x v="11"/>
      <x v="20"/>
      <x v="1"/>
    </i>
    <i r="3">
      <x v="17"/>
      <x/>
      <x/>
    </i>
    <i r="3">
      <x v="18"/>
      <x v="18"/>
      <x v="6"/>
    </i>
    <i r="3">
      <x v="19"/>
      <x v="21"/>
      <x v="7"/>
    </i>
    <i t="grand">
      <x/>
    </i>
  </rowItems>
  <colItems count="1">
    <i/>
  </colItems>
  <pageFields count="1">
    <pageField fld="7" hier="-1"/>
  </pageFields>
  <dataFields count="1">
    <dataField name="Sum of Total" fld="15" baseField="3" baseItem="2"/>
  </dataFields>
  <formats count="1">
    <format dxfId="65">
      <pivotArea dataOnly="0" grandCol="1" outline="0" axis="axisCol" fieldPosition="0"/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001" totalsRowShown="0" headerRowDxfId="57" dataDxfId="56">
  <tableColumns count="17">
    <tableColumn id="1" xr3:uid="{00000000-0010-0000-0000-000001000000}" name="Proveedor" dataDxfId="55">
      <calculatedColumnFormula>IF(Table1[[#This Row],[Tipo de Servicio]]="","",Caratula!$D$15)</calculatedColumnFormula>
    </tableColumn>
    <tableColumn id="14" xr3:uid="{00000000-0010-0000-0000-00000E000000}" name="GZ" dataDxfId="54">
      <calculatedColumnFormula>IF(Table1[[#This Row],[Tipo de Servicio]]="","",Caratula!$D$16)</calculatedColumnFormula>
    </tableColumn>
    <tableColumn id="2" xr3:uid="{00000000-0010-0000-0000-000002000000}" name="Periodo" dataDxfId="53">
      <calculatedColumnFormula>IF(Table1[[#This Row],[Tipo de Servicio]]="","",Caratula!$D$17)</calculatedColumnFormula>
    </tableColumn>
    <tableColumn id="16" xr3:uid="{8DE91BB3-41ED-4087-AC82-AE4CD939289F}" name="SelGZ" dataDxfId="52">
      <calculatedColumnFormula>IF(ISBLANK(Table1[[#This Row],[Tipo de Servicio]]),"",Caratula!$D$16)</calculatedColumnFormula>
    </tableColumn>
    <tableColumn id="13" xr3:uid="{00000000-0010-0000-0000-00000D000000}" name="Tipo de Servicio" dataDxfId="51"/>
    <tableColumn id="17" xr3:uid="{FEB722EE-A4F8-4937-B867-DC40EAA6E759}" name="PEP" dataDxfId="50">
      <calculatedColumnFormula>_xlfn.XLOOKUP(Table1[[#This Row],[SelGZ]]&amp;Table1[[#This Row],[Tipo de Servicio]],CatPEP!A:A,CatPEP!C:C,"")</calculatedColumnFormula>
    </tableColumn>
    <tableColumn id="18" xr3:uid="{0C62BF1A-AA23-40F7-BB80-6D45130CFCDB}" name="Nombre el PEP" dataDxfId="49">
      <calculatedColumnFormula>_xlfn.XLOOKUP(Table1[[#This Row],[PEP]],CatPEP!C:C,CatPEP!D:D,"")</calculatedColumnFormula>
    </tableColumn>
    <tableColumn id="3" xr3:uid="{00000000-0010-0000-0000-000003000000}" name="Aviso" dataDxfId="48"/>
    <tableColumn id="4" xr3:uid="{00000000-0010-0000-0000-000004000000}" name="Orden" dataDxfId="47"/>
    <tableColumn id="5" xr3:uid="{00000000-0010-0000-0000-000005000000}" name="Cliente" dataDxfId="46"/>
    <tableColumn id="6" xr3:uid="{00000000-0010-0000-0000-000006000000}" name="Equipo" dataDxfId="45"/>
    <tableColumn id="7" xr3:uid="{00000000-0010-0000-0000-000007000000}" name="Serie" dataDxfId="44"/>
    <tableColumn id="8" xr3:uid="{00000000-0010-0000-0000-000008000000}" name="Fecha Cierre" dataDxfId="43"/>
    <tableColumn id="10" xr3:uid="{00000000-0010-0000-0000-00000A000000}" name="Costo Servicio" dataDxfId="42"/>
    <tableColumn id="11" xr3:uid="{00000000-0010-0000-0000-00000B000000}" name="Refacciones" dataDxfId="41">
      <calculatedColumnFormula>SUMIF('Registro Refacciones'!B:B, I2, 'Registro Refacciones'!I:I)</calculatedColumnFormula>
    </tableColumn>
    <tableColumn id="12" xr3:uid="{00000000-0010-0000-0000-00000C000000}" name="Total" dataDxfId="40">
      <calculatedColumnFormula>Table1[[#This Row],[Costo Servicio]]+Table1[[#This Row],[Refacciones]]</calculatedColumnFormula>
    </tableColumn>
    <tableColumn id="15" xr3:uid="{00000000-0010-0000-0000-00000F000000}" name="Comentarios" dataDxfId="39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5" displayName="Table5" ref="A1:I3001" totalsRowShown="0" headerRowDxfId="38" dataDxfId="37">
  <tableColumns count="9">
    <tableColumn id="7" xr3:uid="{C88A09C5-1B77-4345-9231-9E3C21FA99A3}" name="SelGZ" dataDxfId="36">
      <calculatedColumnFormula>IF(ISBLANK(Table1[[#This Row],[Tipo de Servicio]]),"",Caratula!$D$16)</calculatedColumnFormula>
    </tableColumn>
    <tableColumn id="1" xr3:uid="{00000000-0010-0000-0100-000001000000}" name="Orden de Servicio" dataDxfId="35"/>
    <tableColumn id="6" xr3:uid="{5869BECA-6116-4E9C-94D6-2340E5C2E2D3}" name="Equipo" dataDxfId="34"/>
    <tableColumn id="10" xr3:uid="{D5A2FDEF-B2BD-47AF-9FE4-63166BF559D4}" name="PEP" dataDxfId="33">
      <calculatedColumnFormula>_xlfn.XLOOKUP(Table5[[#This Row],[SelGZ]]&amp;Table5[[#This Row],[Equipo]],CatPEP!A:A,CatPEP!C:C,"")</calculatedColumnFormula>
    </tableColumn>
    <tableColumn id="11" xr3:uid="{9C5D7311-F2D1-461D-8463-255F47EBD0E5}" name="Nombre PEP" dataDxfId="32">
      <calculatedColumnFormula>_xlfn.XLOOKUP(Table5[[#This Row],[PEP]],CatPEP!C:C,CatPEP!D:D,"")</calculatedColumnFormula>
    </tableColumn>
    <tableColumn id="2" xr3:uid="{00000000-0010-0000-0100-000002000000}" name="Refacción" dataDxfId="31"/>
    <tableColumn id="3" xr3:uid="{00000000-0010-0000-0100-000003000000}" name="Cantidad" dataDxfId="30"/>
    <tableColumn id="4" xr3:uid="{00000000-0010-0000-0100-000004000000}" name="Precio Unitario" dataDxfId="29"/>
    <tableColumn id="5" xr3:uid="{00000000-0010-0000-0100-000005000000}" name="Precio Total" dataDxfId="28">
      <calculatedColumnFormula>Table5[[#This Row],[Precio Unitario]]*Table5[[#This Row],[Cantidad]]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2" displayName="Table2" ref="C1:E49" totalsRowShown="0" headerRowDxfId="26" dataDxfId="25">
  <autoFilter ref="C1:E49" xr:uid="{00000000-000C-0000-FFFF-FFFF02000000}"/>
  <tableColumns count="3">
    <tableColumn id="1" xr3:uid="{00000000-0010-0000-0200-000001000000}" name="Servicio" dataDxfId="24"/>
    <tableColumn id="2" xr3:uid="{00000000-0010-0000-0200-000002000000}" name="Tipo de Equipo" dataDxfId="23"/>
    <tableColumn id="3" xr3:uid="{00000000-0010-0000-0200-000003000000}" name="Tipo de Servicio" dataDxfId="22">
      <calculatedColumnFormula>Table2[[#This Row],[Servicio]]&amp;" - "&amp;Table2[[#This Row],[Tipo de Equipo]]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able3" displayName="Table3" ref="A1:B23" totalsRowShown="0">
  <autoFilter ref="A1:B23" xr:uid="{00000000-0009-0000-0100-000003000000}"/>
  <tableColumns count="2">
    <tableColumn id="1" xr3:uid="{00000000-0010-0000-0300-000001000000}" name="Tipo de Servicio"/>
    <tableColumn id="2" xr3:uid="{4FA03645-410A-4966-8A1D-D114AE348745}" name="Column1" dataDxfId="2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J1:N54" totalsRowShown="0" headerRowDxfId="20" dataDxfId="19" tableBorderDxfId="18">
  <autoFilter ref="J1:N54" xr:uid="{00000000-0009-0000-0100-000006000000}"/>
  <tableColumns count="5">
    <tableColumn id="1" xr3:uid="{00000000-0010-0000-0400-000001000000}" name="Año" dataDxfId="17"/>
    <tableColumn id="2" xr3:uid="{00000000-0010-0000-0400-000002000000}" name="Semana" dataDxfId="16"/>
    <tableColumn id="3" xr3:uid="{00000000-0010-0000-0400-000003000000}" name="Periodo" dataDxfId="15">
      <calculatedColumnFormula>"S"&amp;TEXT(K2,"00")&amp;RIGHT(J2,2)</calculatedColumnFormula>
    </tableColumn>
    <tableColumn id="4" xr3:uid="{00000000-0010-0000-0400-000004000000}" name="Inicio" dataDxfId="14">
      <calculatedColumnFormula>DATE(J2,1,1) - MOD(WEEKDAY(DATE(J2,1,7),2), 7) + (K2-1)*7</calculatedColumnFormula>
    </tableColumn>
    <tableColumn id="5" xr3:uid="{00000000-0010-0000-0400-000005000000}" name="Fin" dataDxfId="13">
      <calculatedColumnFormula>M2+6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58" displayName="Table58" ref="P1:P30" totalsRowShown="0" headerRowDxfId="12" dataDxfId="11">
  <autoFilter ref="P1:P30" xr:uid="{00000000-0009-0000-0100-000007000000}"/>
  <tableColumns count="1">
    <tableColumn id="1" xr3:uid="{00000000-0010-0000-0500-000001000000}" name="GZ" dataDxfId="10"/>
  </tableColumns>
  <tableStyleInfo name="TableStyleMedium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B3B80B-9D64-435F-A5F5-4247F7991D6C}" name="Table4" displayName="Table4" ref="A1:G917" totalsRowShown="0">
  <autoFilter ref="A1:G917" xr:uid="{61266D7F-9B52-482D-802C-9AA0D131EF18}"/>
  <tableColumns count="7">
    <tableColumn id="1" xr3:uid="{472522C3-D410-47B9-B0AC-6D65150E46E5}" name="CONCAT" dataDxfId="8">
      <calculatedColumnFormula>B2&amp;Table4[[#This Row],[Tipo Servicio]]</calculatedColumnFormula>
    </tableColumn>
    <tableColumn id="2" xr3:uid="{C12F5BC6-C8A9-4594-917C-5DA3A5DCE0F7}" name="GZ"/>
    <tableColumn id="3" xr3:uid="{388A74C2-4117-4AA7-BF97-D3A729C2EF7E}" name="Objeto"/>
    <tableColumn id="4" xr3:uid="{DFC593FF-D862-4DE4-8E20-CFB65400A2DA}" name="Iniciativa"/>
    <tableColumn id="5" xr3:uid="{9A67DB08-DD6B-40EB-99A1-698D8C735905}" name="TIPO DE SERVICIO "/>
    <tableColumn id="7" xr3:uid="{F49397F1-784C-4737-B16F-75DC9913E9B2}" name="Tipo Servicio" dataDxfId="7"/>
    <tableColumn id="6" xr3:uid="{09CDB4CF-7387-46EA-8EC7-0B362040FD39}" name="REGION" dataDxfId="6">
      <calculatedColumnFormula>_xlfn.XLOOKUP(Table4[[#This Row],[GZ]],'[1]BASE TRADE'!$R:$R,'[1]BASE TRADE'!$Q:$Q)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80DDE5-FC59-42A2-9074-AF10BA8F3F40}" name="Table210" displayName="Table210" ref="A1:D35" totalsRowShown="0" headerRowDxfId="5" dataDxfId="4">
  <autoFilter ref="A1:D35" xr:uid="{9B80DDE5-FC59-42A2-9074-AF10BA8F3F40}"/>
  <tableColumns count="4">
    <tableColumn id="1" xr3:uid="{F27C1040-14D1-4DCA-86C5-359A2FF2AC94}" name="Servicio" dataDxfId="3"/>
    <tableColumn id="2" xr3:uid="{81C4CEC4-5164-4343-AB8D-A25F2E327E0B}" name="Tipo de Equipo" dataDxfId="2"/>
    <tableColumn id="3" xr3:uid="{0FA9480F-939B-48BA-A17D-7D51BD01AF8D}" name="Tipo de Servicio" dataDxfId="1">
      <calculatedColumnFormula>Table2[[#This Row],[Servicio]]&amp;" - "&amp;Table2[[#This Row],[Tipo de Equipo]]</calculatedColumnFormula>
    </tableColumn>
    <tableColumn id="4" xr3:uid="{03718147-5406-4440-A9D2-4F682DFAD981}" name="Iniciativa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1:I21"/>
  <sheetViews>
    <sheetView showGridLines="0" zoomScale="76" zoomScaleNormal="100" workbookViewId="0">
      <selection activeCell="F12" sqref="F12"/>
    </sheetView>
  </sheetViews>
  <sheetFormatPr defaultColWidth="0" defaultRowHeight="14.45" zeroHeight="1"/>
  <cols>
    <col min="1" max="1" width="6.85546875" bestFit="1" customWidth="1"/>
    <col min="2" max="2" width="18.140625" bestFit="1" customWidth="1"/>
    <col min="3" max="3" width="24.140625" customWidth="1"/>
    <col min="4" max="4" width="22.85546875" customWidth="1"/>
    <col min="5" max="5" width="18.140625" bestFit="1" customWidth="1"/>
    <col min="6" max="6" width="9.140625" customWidth="1"/>
    <col min="7" max="9" width="0" hidden="1" customWidth="1"/>
    <col min="10" max="16384" width="9.140625" hidden="1"/>
  </cols>
  <sheetData>
    <row r="1" spans="1:6">
      <c r="A1" s="30" t="s">
        <v>0</v>
      </c>
    </row>
    <row r="2" spans="1:6" ht="29.25" customHeight="1">
      <c r="B2" s="61" t="s">
        <v>1</v>
      </c>
      <c r="C2" s="61"/>
      <c r="D2" s="61"/>
      <c r="E2" s="61"/>
      <c r="F2" s="28"/>
    </row>
    <row r="3" spans="1:6"/>
    <row r="4" spans="1:6"/>
    <row r="5" spans="1:6"/>
    <row r="6" spans="1:6"/>
    <row r="7" spans="1:6"/>
    <row r="8" spans="1:6"/>
    <row r="9" spans="1:6">
      <c r="B9" s="60" t="s">
        <v>2</v>
      </c>
      <c r="C9" s="60"/>
      <c r="D9" s="60" t="s">
        <v>3</v>
      </c>
      <c r="E9" s="60"/>
      <c r="F9" s="8"/>
    </row>
    <row r="10" spans="1:6"/>
    <row r="11" spans="1:6"/>
    <row r="12" spans="1:6">
      <c r="B12" s="27"/>
      <c r="C12" s="27"/>
      <c r="D12" s="27"/>
      <c r="E12" s="27"/>
    </row>
    <row r="13" spans="1:6"/>
    <row r="14" spans="1:6"/>
    <row r="15" spans="1:6">
      <c r="C15" s="16" t="s">
        <v>4</v>
      </c>
      <c r="D15" s="14"/>
    </row>
    <row r="16" spans="1:6">
      <c r="C16" s="17" t="s">
        <v>5</v>
      </c>
      <c r="D16" s="15" t="inlineStr">
        <is>
          <t>NUEVO LEON</t>
        </is>
      </c>
    </row>
    <row r="17" spans="3:6">
      <c r="C17" s="18" t="s">
        <v>7</v>
      </c>
      <c r="D17" s="12" t="s">
        <v>8</v>
      </c>
    </row>
    <row r="18" spans="3:6"/>
    <row r="19" spans="3:6">
      <c r="C19" s="19" t="s">
        <v>9</v>
      </c>
      <c r="D19" s="20" t="s">
        <v>10</v>
      </c>
    </row>
    <row r="20" spans="3:6">
      <c r="C20" s="21">
        <f>VLOOKUP(D17,Catalogo!L:N,2,0)</f>
        <v>46147</v>
      </c>
      <c r="D20" s="22">
        <f>VLOOKUP(D17,Catalogo!L:N,3,0)</f>
        <v>46153</v>
      </c>
    </row>
    <row r="21" spans="3:6">
      <c r="F21" s="29" t="s">
        <v>11</v>
      </c>
    </row>
  </sheetData>
  <sheetProtection algorithmName="SHA-512" hashValue="W7R54Dk24RWiVuHnE6N5Ny7h1d+G0Cr8xaRldYXSsl5gB8QIUKdt9zEm/p2QclNxUGs2rkP2GJlFvimCeUpD4A==" saltValue="ttHbjGc3xvwOw2nExm4wjg==" spinCount="100000" sheet="1" formatCells="0" formatColumns="0" formatRows="0" insertColumns="0" insertRows="0" insertHyperlinks="0" deleteColumns="0" deleteRows="0" sort="0" autoFilter="0" pivotTables="0"/>
  <mergeCells count="3">
    <mergeCell ref="B9:C9"/>
    <mergeCell ref="B2:E2"/>
    <mergeCell ref="D9:E9"/>
  </mergeCells>
  <dataValidations count="2">
    <dataValidation type="list" allowBlank="1" showInputMessage="1" showErrorMessage="1" sqref="D17" xr:uid="{00000000-0002-0000-0000-000000000000}">
      <formula1>Periodo</formula1>
    </dataValidation>
    <dataValidation type="list" allowBlank="1" showInputMessage="1" showErrorMessage="1" sqref="D16" xr:uid="{00000000-0002-0000-0000-000001000000}">
      <formula1>GZ</formula1>
    </dataValidation>
  </dataValidations>
  <pageMargins left="0.7" right="0.7" top="0.75" bottom="0.75" header="0.3" footer="0.3"/>
  <pageSetup scale="82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8246"/>
  </sheetPr>
  <dimension ref="A1:Q1001"/>
  <sheetViews>
    <sheetView showGridLines="0" tabSelected="1" topLeftCell="E1" zoomScale="77" zoomScaleNormal="100" workbookViewId="0">
      <selection activeCell="F13" sqref="F13"/>
    </sheetView>
  </sheetViews>
  <sheetFormatPr defaultColWidth="0" defaultRowHeight="14.45" zeroHeight="1"/>
  <cols>
    <col min="1" max="1" width="13.140625" style="24" hidden="1" customWidth="1"/>
    <col min="2" max="2" width="20.85546875" style="24" hidden="1" customWidth="1"/>
    <col min="3" max="3" width="8" style="24" hidden="1" customWidth="1"/>
    <col min="4" max="4" width="19.140625" style="24" hidden="1" customWidth="1"/>
    <col min="5" max="5" width="40.140625" style="24" customWidth="1"/>
    <col min="6" max="6" width="29.85546875" customWidth="1"/>
    <col min="7" max="7" width="23.7109375" bestFit="1" customWidth="1"/>
    <col min="8" max="8" width="12.7109375" style="25" bestFit="1" customWidth="1"/>
    <col min="9" max="9" width="13.85546875" style="25" bestFit="1" customWidth="1"/>
    <col min="10" max="10" width="10.85546875" style="25" customWidth="1"/>
    <col min="11" max="11" width="14.140625" style="25" bestFit="1" customWidth="1"/>
    <col min="12" max="12" width="18" style="25" customWidth="1"/>
    <col min="13" max="13" width="12.42578125" style="23" customWidth="1"/>
    <col min="14" max="16" width="15" style="26" customWidth="1"/>
    <col min="17" max="17" width="37" style="24" customWidth="1"/>
    <col min="18" max="16384" width="9.140625" style="24" hidden="1"/>
  </cols>
  <sheetData>
    <row r="1" spans="1:17" s="45" customFormat="1" ht="15" thickBot="1">
      <c r="A1" s="40" t="s">
        <v>12</v>
      </c>
      <c r="B1" s="40" t="s">
        <v>5</v>
      </c>
      <c r="C1" s="40" t="s">
        <v>13</v>
      </c>
      <c r="D1" s="40" t="s">
        <v>14</v>
      </c>
      <c r="E1" s="39" t="s">
        <v>15</v>
      </c>
      <c r="F1" s="46" t="s">
        <v>16</v>
      </c>
      <c r="G1" s="46" t="s">
        <v>17</v>
      </c>
      <c r="H1" s="41" t="s">
        <v>18</v>
      </c>
      <c r="I1" s="41" t="s">
        <v>19</v>
      </c>
      <c r="J1" s="41" t="s">
        <v>20</v>
      </c>
      <c r="K1" s="41" t="s">
        <v>21</v>
      </c>
      <c r="L1" s="41" t="s">
        <v>22</v>
      </c>
      <c r="M1" s="42" t="s">
        <v>23</v>
      </c>
      <c r="N1" s="43" t="s">
        <v>24</v>
      </c>
      <c r="O1" s="44" t="s">
        <v>25</v>
      </c>
      <c r="P1" s="44" t="s">
        <v>26</v>
      </c>
      <c r="Q1" s="43" t="s">
        <v>27</v>
      </c>
    </row>
    <row r="2" spans="1:17" ht="15" thickBot="1">
      <c r="A2" s="37">
        <f>IF(Table1[[#This Row],[Tipo de Servicio]]="","",Caratula!$D$15)</f>
        <v>0</v>
      </c>
      <c r="B2" s="37" t="str">
        <f>IF(Table1[[#This Row],[Tipo de Servicio]]="","",Caratula!$D$16)</f>
        <v>TAMAULIPAS SUR-VER NTE</v>
      </c>
      <c r="C2" s="24" t="str">
        <f>IF(Table1[[#This Row],[Tipo de Servicio]]="","",Caratula!$D$17)</f>
        <v>S1926</v>
      </c>
      <c r="D2" s="38" t="str">
        <f>IF(ISBLANK(Table1[[#This Row],[Tipo de Servicio]]),"",Caratula!$D$16)</f>
        <v>TAMAULIPAS SUR-VER NTE</v>
      </c>
      <c r="E2" s="24" t="s">
        <v>28</v>
      </c>
      <c r="F2" t="str">
        <f>_xlfn.XLOOKUP(Table1[[#This Row],[SelGZ]]&amp;Table1[[#This Row],[Tipo de Servicio]],CatPEP!A:A,CatPEP!C:C,"")</f>
        <v/>
      </c>
      <c r="G2" t="str">
        <f>_xlfn.XLOOKUP(Table1[[#This Row],[PEP]],CatPEP!C:C,CatPEP!D:D,"")</f>
        <v/>
      </c>
      <c r="H2" s="54"/>
      <c r="I2" s="54"/>
      <c r="J2" s="54"/>
      <c r="L2" s="55"/>
      <c r="O2" s="53">
        <f>SUMIF('Registro Refacciones'!B:B, I2, 'Registro Refacciones'!I:I)</f>
        <v>0</v>
      </c>
      <c r="P2" s="26">
        <f>Table1[[#This Row],[Costo Servicio]]+Table1[[#This Row],[Refacciones]]</f>
        <v>0</v>
      </c>
      <c r="Q2" s="26"/>
    </row>
    <row r="3" spans="1:17">
      <c r="A3" s="37">
        <f>IF(Table1[[#This Row],[Tipo de Servicio]]="","",Caratula!$D$15)</f>
        <v>0</v>
      </c>
      <c r="B3" s="37" t="str">
        <f>IF(Table1[[#This Row],[Tipo de Servicio]]="","",Caratula!$D$16)</f>
        <v>TAMAULIPAS SUR-VER NTE</v>
      </c>
      <c r="C3" s="24" t="str">
        <f>IF(Table1[[#This Row],[Tipo de Servicio]]="","",Caratula!$D$17)</f>
        <v>S1926</v>
      </c>
      <c r="D3" s="38" t="str">
        <f>IF(ISBLANK(Table1[[#This Row],[Tipo de Servicio]]),"",Caratula!$D$16)</f>
        <v>TAMAULIPAS SUR-VER NTE</v>
      </c>
      <c r="E3" s="24" t="s">
        <v>29</v>
      </c>
      <c r="F3" t="str">
        <f>_xlfn.XLOOKUP(Table1[[#This Row],[SelGZ]]&amp;Table1[[#This Row],[Tipo de Servicio]],CatPEP!A:A,CatPEP!C:C,"")</f>
        <v>M/MXCM/26/CG1J/C2/815/02</v>
      </c>
      <c r="G3" t="str">
        <f>_xlfn.XLOOKUP(Table1[[#This Row],[PEP]],CatPEP!C:C,CatPEP!D:D,"")</f>
        <v>MTTO BARRIL</v>
      </c>
      <c r="O3" s="53">
        <f>SUMIF('Registro Refacciones'!B:B, I3, 'Registro Refacciones'!I:I)</f>
        <v>0</v>
      </c>
      <c r="P3" s="26">
        <f>Table1[[#This Row],[Costo Servicio]]+Table1[[#This Row],[Refacciones]]</f>
        <v>0</v>
      </c>
      <c r="Q3" s="26"/>
    </row>
    <row r="4" spans="1:17">
      <c r="A4" s="37">
        <f>IF(Table1[[#This Row],[Tipo de Servicio]]="","",Caratula!$D$15)</f>
        <v>0</v>
      </c>
      <c r="B4" s="37" t="str">
        <f>IF(Table1[[#This Row],[Tipo de Servicio]]="","",Caratula!$D$16)</f>
        <v>TAMAULIPAS SUR-VER NTE</v>
      </c>
      <c r="C4" s="24" t="str">
        <f>IF(Table1[[#This Row],[Tipo de Servicio]]="","",Caratula!$D$17)</f>
        <v>S1926</v>
      </c>
      <c r="D4" s="38" t="str">
        <f>IF(ISBLANK(Table1[[#This Row],[Tipo de Servicio]]),"",Caratula!$D$16)</f>
        <v>TAMAULIPAS SUR-VER NTE</v>
      </c>
      <c r="E4" s="24" t="s">
        <v>30</v>
      </c>
      <c r="F4" t="str">
        <f>_xlfn.XLOOKUP(Table1[[#This Row],[SelGZ]]&amp;Table1[[#This Row],[Tipo de Servicio]],CatPEP!A:A,CatPEP!C:C,"")</f>
        <v>M/MXCM/26/GA6B/C6/815/03</v>
      </c>
      <c r="G4" t="str">
        <f>_xlfn.XLOOKUP(Table1[[#This Row],[PEP]],CatPEP!C:C,CatPEP!D:D,"")</f>
        <v>MOVIMIENTOS FLETES NAC</v>
      </c>
      <c r="O4" s="53">
        <f>SUMIF('Registro Refacciones'!B:B, I4, 'Registro Refacciones'!I:I)</f>
        <v>0</v>
      </c>
      <c r="P4" s="26">
        <f>Table1[[#This Row],[Costo Servicio]]+Table1[[#This Row],[Refacciones]]</f>
        <v>0</v>
      </c>
      <c r="Q4" s="26"/>
    </row>
    <row r="5" spans="1:17">
      <c r="A5" s="37" t="str">
        <f>IF(Table1[[#This Row],[Tipo de Servicio]]="","",Caratula!$D$15)</f>
        <v/>
      </c>
      <c r="B5" s="37" t="str">
        <f>IF(Table1[[#This Row],[Tipo de Servicio]]="","",Caratula!$D$16)</f>
        <v/>
      </c>
      <c r="C5" s="24" t="str">
        <f>IF(Table1[[#This Row],[Tipo de Servicio]]="","",Caratula!$D$17)</f>
        <v/>
      </c>
      <c r="D5" s="38" t="str">
        <f>IF(ISBLANK(Table1[[#This Row],[Tipo de Servicio]]),"",Caratula!$D$16)</f>
        <v/>
      </c>
      <c r="F5" t="str">
        <f>_xlfn.XLOOKUP(Table1[[#This Row],[SelGZ]]&amp;Table1[[#This Row],[Tipo de Servicio]],CatPEP!A:A,CatPEP!C:C,"")</f>
        <v/>
      </c>
      <c r="G5" t="str">
        <f>_xlfn.XLOOKUP(Table1[[#This Row],[PEP]],CatPEP!C:C,CatPEP!D:D,"")</f>
        <v/>
      </c>
      <c r="O5" s="53">
        <f>SUMIF('Registro Refacciones'!B:B, I5, 'Registro Refacciones'!I:I)</f>
        <v>0</v>
      </c>
      <c r="P5" s="26">
        <f>Table1[[#This Row],[Costo Servicio]]+Table1[[#This Row],[Refacciones]]</f>
        <v>0</v>
      </c>
      <c r="Q5" s="26"/>
    </row>
    <row r="6" spans="1:17">
      <c r="A6" s="37">
        <f>IF(Table1[[#This Row],[Tipo de Servicio]]="","",Caratula!$D$15)</f>
        <v>0</v>
      </c>
      <c r="B6" s="37" t="str">
        <f>IF(Table1[[#This Row],[Tipo de Servicio]]="","",Caratula!$D$16)</f>
        <v>TAMAULIPAS SUR-VER NTE</v>
      </c>
      <c r="C6" s="24" t="str">
        <f>IF(Table1[[#This Row],[Tipo de Servicio]]="","",Caratula!$D$17)</f>
        <v>S1926</v>
      </c>
      <c r="D6" s="38" t="str">
        <f>IF(ISBLANK(Table1[[#This Row],[Tipo de Servicio]]),"",Caratula!$D$16)</f>
        <v>TAMAULIPAS SUR-VER NTE</v>
      </c>
      <c r="E6" s="24" t="s">
        <v>31</v>
      </c>
      <c r="F6" t="str">
        <f>_xlfn.XLOOKUP(Table1[[#This Row],[SelGZ]]&amp;Table1[[#This Row],[Tipo de Servicio]],CatPEP!A:A,CatPEP!C:C,"")</f>
        <v>M/MXCM/26/CG1J/C2/815/01</v>
      </c>
      <c r="G6" t="str">
        <f>_xlfn.XLOOKUP(Table1[[#This Row],[PEP]],CatPEP!C:C,CatPEP!D:D,"")</f>
        <v>MOVIMIENTOS</v>
      </c>
      <c r="O6" s="53">
        <f>SUMIF('Registro Refacciones'!B:B, I6, 'Registro Refacciones'!I:I)</f>
        <v>0</v>
      </c>
      <c r="P6" s="26">
        <f>Table1[[#This Row],[Costo Servicio]]+Table1[[#This Row],[Refacciones]]</f>
        <v>0</v>
      </c>
      <c r="Q6" s="26"/>
    </row>
    <row r="7" spans="1:17">
      <c r="A7" s="37" t="str">
        <f>IF(Table1[[#This Row],[Tipo de Servicio]]="","",Caratula!$D$15)</f>
        <v/>
      </c>
      <c r="B7" s="37" t="str">
        <f>IF(Table1[[#This Row],[Tipo de Servicio]]="","",Caratula!$D$16)</f>
        <v/>
      </c>
      <c r="C7" s="24" t="str">
        <f>IF(Table1[[#This Row],[Tipo de Servicio]]="","",Caratula!$D$17)</f>
        <v/>
      </c>
      <c r="D7" s="38" t="str">
        <f>IF(ISBLANK(Table1[[#This Row],[Tipo de Servicio]]),"",Caratula!$D$16)</f>
        <v/>
      </c>
      <c r="F7" t="str">
        <f>_xlfn.XLOOKUP(Table1[[#This Row],[SelGZ]]&amp;Table1[[#This Row],[Tipo de Servicio]],CatPEP!A:A,CatPEP!C:C,"")</f>
        <v/>
      </c>
      <c r="G7" t="str">
        <f>_xlfn.XLOOKUP(Table1[[#This Row],[PEP]],CatPEP!C:C,CatPEP!D:D,"")</f>
        <v/>
      </c>
      <c r="O7" s="53">
        <f>SUMIF('Registro Refacciones'!B:B, I7, 'Registro Refacciones'!I:I)</f>
        <v>0</v>
      </c>
      <c r="P7" s="26">
        <f>Table1[[#This Row],[Costo Servicio]]+Table1[[#This Row],[Refacciones]]</f>
        <v>0</v>
      </c>
      <c r="Q7" s="26"/>
    </row>
    <row r="8" spans="1:17">
      <c r="A8" s="37">
        <f>IF(Table1[[#This Row],[Tipo de Servicio]]="","",Caratula!$D$15)</f>
        <v>0</v>
      </c>
      <c r="B8" s="37" t="str">
        <f>IF(Table1[[#This Row],[Tipo de Servicio]]="","",Caratula!$D$16)</f>
        <v>TAMAULIPAS SUR-VER NTE</v>
      </c>
      <c r="C8" s="24" t="str">
        <f>IF(Table1[[#This Row],[Tipo de Servicio]]="","",Caratula!$D$17)</f>
        <v>S1926</v>
      </c>
      <c r="D8" s="38" t="str">
        <f>IF(ISBLANK(Table1[[#This Row],[Tipo de Servicio]]),"",Caratula!$D$16)</f>
        <v>TAMAULIPAS SUR-VER NTE</v>
      </c>
      <c r="E8" s="24" t="s">
        <v>31</v>
      </c>
      <c r="F8" t="str">
        <f>_xlfn.XLOOKUP(Table1[[#This Row],[SelGZ]]&amp;Table1[[#This Row],[Tipo de Servicio]],CatPEP!A:A,CatPEP!C:C,"")</f>
        <v>M/MXCM/26/CG1J/C2/815/01</v>
      </c>
      <c r="G8" t="str">
        <f>_xlfn.XLOOKUP(Table1[[#This Row],[PEP]],CatPEP!C:C,CatPEP!D:D,"")</f>
        <v>MOVIMIENTOS</v>
      </c>
      <c r="O8" s="53">
        <f>SUMIF('Registro Refacciones'!B:B, I8, 'Registro Refacciones'!I:I)</f>
        <v>0</v>
      </c>
      <c r="P8" s="26">
        <f>Table1[[#This Row],[Costo Servicio]]+Table1[[#This Row],[Refacciones]]</f>
        <v>0</v>
      </c>
      <c r="Q8" s="26"/>
    </row>
    <row r="9" spans="1:17">
      <c r="A9" s="37">
        <f>IF(Table1[[#This Row],[Tipo de Servicio]]="","",Caratula!$D$15)</f>
        <v>0</v>
      </c>
      <c r="B9" s="37" t="str">
        <f>IF(Table1[[#This Row],[Tipo de Servicio]]="","",Caratula!$D$16)</f>
        <v>TAMAULIPAS SUR-VER NTE</v>
      </c>
      <c r="C9" s="24" t="str">
        <f>IF(Table1[[#This Row],[Tipo de Servicio]]="","",Caratula!$D$17)</f>
        <v>S1926</v>
      </c>
      <c r="D9" s="38" t="str">
        <f>IF(ISBLANK(Table1[[#This Row],[Tipo de Servicio]]),"",Caratula!$D$16)</f>
        <v>TAMAULIPAS SUR-VER NTE</v>
      </c>
      <c r="E9" s="24" t="s">
        <v>32</v>
      </c>
      <c r="F9" t="str">
        <f>_xlfn.XLOOKUP(Table1[[#This Row],[SelGZ]]&amp;Table1[[#This Row],[Tipo de Servicio]],CatPEP!A:A,CatPEP!C:C,"")</f>
        <v>M/MXCM/26/CG1J/C2/815/01</v>
      </c>
      <c r="G9" t="str">
        <f>_xlfn.XLOOKUP(Table1[[#This Row],[PEP]],CatPEP!C:C,CatPEP!D:D,"")</f>
        <v>MOVIMIENTOS</v>
      </c>
      <c r="I9" s="25">
        <v>456</v>
      </c>
      <c r="N9" s="26">
        <v>130</v>
      </c>
      <c r="O9" s="53">
        <f>SUMIF('Registro Refacciones'!B:B, I9, 'Registro Refacciones'!I:I)</f>
        <v>0</v>
      </c>
      <c r="P9" s="26">
        <f>Table1[[#This Row],[Costo Servicio]]+Table1[[#This Row],[Refacciones]]</f>
        <v>130</v>
      </c>
      <c r="Q9" s="26"/>
    </row>
    <row r="10" spans="1:17">
      <c r="A10" s="37" t="str">
        <f>IF(Table1[[#This Row],[Tipo de Servicio]]="","",Caratula!$D$15)</f>
        <v/>
      </c>
      <c r="B10" s="37" t="str">
        <f>IF(Table1[[#This Row],[Tipo de Servicio]]="","",Caratula!$D$16)</f>
        <v/>
      </c>
      <c r="C10" s="24" t="str">
        <f>IF(Table1[[#This Row],[Tipo de Servicio]]="","",Caratula!$D$17)</f>
        <v/>
      </c>
      <c r="D10" s="38" t="str">
        <f>IF(ISBLANK(Table1[[#This Row],[Tipo de Servicio]]),"",Caratula!$D$16)</f>
        <v/>
      </c>
      <c r="F10" t="str">
        <f>_xlfn.XLOOKUP(Table1[[#This Row],[SelGZ]]&amp;Table1[[#This Row],[Tipo de Servicio]],CatPEP!A:A,CatPEP!C:C,"")</f>
        <v/>
      </c>
      <c r="G10" t="str">
        <f>_xlfn.XLOOKUP(Table1[[#This Row],[PEP]],CatPEP!C:C,CatPEP!D:D,"")</f>
        <v/>
      </c>
      <c r="O10" s="53">
        <f>SUMIF('Registro Refacciones'!B:B, I10, 'Registro Refacciones'!I:I)</f>
        <v>0</v>
      </c>
      <c r="P10" s="26">
        <f>Table1[[#This Row],[Costo Servicio]]+Table1[[#This Row],[Refacciones]]</f>
        <v>0</v>
      </c>
      <c r="Q10" s="26"/>
    </row>
    <row r="11" spans="1:17">
      <c r="A11" s="37" t="str">
        <f>IF(Table1[[#This Row],[Tipo de Servicio]]="","",Caratula!$D$15)</f>
        <v/>
      </c>
      <c r="B11" s="37" t="str">
        <f>IF(Table1[[#This Row],[Tipo de Servicio]]="","",Caratula!$D$16)</f>
        <v/>
      </c>
      <c r="C11" s="24" t="str">
        <f>IF(Table1[[#This Row],[Tipo de Servicio]]="","",Caratula!$D$17)</f>
        <v/>
      </c>
      <c r="D11" s="38" t="str">
        <f>IF(ISBLANK(Table1[[#This Row],[Tipo de Servicio]]),"",Caratula!$D$16)</f>
        <v/>
      </c>
      <c r="F11" t="str">
        <f>_xlfn.XLOOKUP(Table1[[#This Row],[SelGZ]]&amp;Table1[[#This Row],[Tipo de Servicio]],CatPEP!A:A,CatPEP!C:C,"")</f>
        <v/>
      </c>
      <c r="G11" t="str">
        <f>_xlfn.XLOOKUP(Table1[[#This Row],[PEP]],CatPEP!C:C,CatPEP!D:D,"")</f>
        <v/>
      </c>
      <c r="O11" s="53">
        <f>SUMIF('Registro Refacciones'!B:B, I11, 'Registro Refacciones'!I:I)</f>
        <v>0</v>
      </c>
      <c r="P11" s="26">
        <f>Table1[[#This Row],[Costo Servicio]]+Table1[[#This Row],[Refacciones]]</f>
        <v>0</v>
      </c>
      <c r="Q11" s="26"/>
    </row>
    <row r="12" spans="1:17">
      <c r="A12" s="37" t="str">
        <f>IF(Table1[[#This Row],[Tipo de Servicio]]="","",Caratula!$D$15)</f>
        <v/>
      </c>
      <c r="B12" s="37" t="str">
        <f>IF(Table1[[#This Row],[Tipo de Servicio]]="","",Caratula!$D$16)</f>
        <v/>
      </c>
      <c r="C12" s="24" t="str">
        <f>IF(Table1[[#This Row],[Tipo de Servicio]]="","",Caratula!$D$17)</f>
        <v/>
      </c>
      <c r="D12" s="38" t="str">
        <f>IF(ISBLANK(Table1[[#This Row],[Tipo de Servicio]]),"",Caratula!$D$16)</f>
        <v/>
      </c>
      <c r="F12" t="str">
        <f>_xlfn.XLOOKUP(Table1[[#This Row],[SelGZ]]&amp;Table1[[#This Row],[Tipo de Servicio]],CatPEP!A:A,CatPEP!C:C,"")</f>
        <v/>
      </c>
      <c r="G12" t="str">
        <f>_xlfn.XLOOKUP(Table1[[#This Row],[PEP]],CatPEP!C:C,CatPEP!D:D,"")</f>
        <v/>
      </c>
      <c r="O12" s="53">
        <f>SUMIF('Registro Refacciones'!B:B, I12, 'Registro Refacciones'!I:I)</f>
        <v>0</v>
      </c>
      <c r="P12" s="26">
        <f>Table1[[#This Row],[Costo Servicio]]+Table1[[#This Row],[Refacciones]]</f>
        <v>0</v>
      </c>
      <c r="Q12" s="26"/>
    </row>
    <row r="13" spans="1:17">
      <c r="A13" s="37" t="str">
        <f>IF(Table1[[#This Row],[Tipo de Servicio]]="","",Caratula!$D$15)</f>
        <v/>
      </c>
      <c r="B13" s="37" t="str">
        <f>IF(Table1[[#This Row],[Tipo de Servicio]]="","",Caratula!$D$16)</f>
        <v/>
      </c>
      <c r="C13" s="24" t="str">
        <f>IF(Table1[[#This Row],[Tipo de Servicio]]="","",Caratula!$D$17)</f>
        <v/>
      </c>
      <c r="D13" s="38" t="str">
        <f>IF(ISBLANK(Table1[[#This Row],[Tipo de Servicio]]),"",Caratula!$D$16)</f>
        <v/>
      </c>
      <c r="F13" t="str">
        <f>_xlfn.XLOOKUP(Table1[[#This Row],[SelGZ]]&amp;Table1[[#This Row],[Tipo de Servicio]],CatPEP!A:A,CatPEP!C:C,"")</f>
        <v/>
      </c>
      <c r="G13" t="str">
        <f>_xlfn.XLOOKUP(Table1[[#This Row],[PEP]],CatPEP!C:C,CatPEP!D:D,"")</f>
        <v/>
      </c>
      <c r="O13" s="53">
        <f>SUMIF('Registro Refacciones'!B:B, I13, 'Registro Refacciones'!I:I)</f>
        <v>0</v>
      </c>
      <c r="P13" s="26">
        <f>Table1[[#This Row],[Costo Servicio]]+Table1[[#This Row],[Refacciones]]</f>
        <v>0</v>
      </c>
      <c r="Q13" s="26"/>
    </row>
    <row r="14" spans="1:17">
      <c r="A14" s="37" t="str">
        <f>IF(Table1[[#This Row],[Tipo de Servicio]]="","",Caratula!$D$15)</f>
        <v/>
      </c>
      <c r="B14" s="37" t="str">
        <f>IF(Table1[[#This Row],[Tipo de Servicio]]="","",Caratula!$D$16)</f>
        <v/>
      </c>
      <c r="C14" s="24" t="str">
        <f>IF(Table1[[#This Row],[Tipo de Servicio]]="","",Caratula!$D$17)</f>
        <v/>
      </c>
      <c r="D14" s="38" t="str">
        <f>IF(ISBLANK(Table1[[#This Row],[Tipo de Servicio]]),"",Caratula!$D$16)</f>
        <v/>
      </c>
      <c r="F14" t="str">
        <f>_xlfn.XLOOKUP(Table1[[#This Row],[SelGZ]]&amp;Table1[[#This Row],[Tipo de Servicio]],CatPEP!A:A,CatPEP!C:C,"")</f>
        <v/>
      </c>
      <c r="G14" t="str">
        <f>_xlfn.XLOOKUP(Table1[[#This Row],[PEP]],CatPEP!C:C,CatPEP!D:D,"")</f>
        <v/>
      </c>
      <c r="O14" s="53">
        <f>SUMIF('Registro Refacciones'!B:B, I14, 'Registro Refacciones'!I:I)</f>
        <v>0</v>
      </c>
      <c r="P14" s="26">
        <f>Table1[[#This Row],[Costo Servicio]]+Table1[[#This Row],[Refacciones]]</f>
        <v>0</v>
      </c>
      <c r="Q14" s="26"/>
    </row>
    <row r="15" spans="1:17">
      <c r="A15" s="37" t="str">
        <f>IF(Table1[[#This Row],[Tipo de Servicio]]="","",Caratula!$D$15)</f>
        <v/>
      </c>
      <c r="B15" s="37" t="str">
        <f>IF(Table1[[#This Row],[Tipo de Servicio]]="","",Caratula!$D$16)</f>
        <v/>
      </c>
      <c r="C15" s="24" t="str">
        <f>IF(Table1[[#This Row],[Tipo de Servicio]]="","",Caratula!$D$17)</f>
        <v/>
      </c>
      <c r="D15" s="38" t="str">
        <f>IF(ISBLANK(Table1[[#This Row],[Tipo de Servicio]]),"",Caratula!$D$16)</f>
        <v/>
      </c>
      <c r="F15" t="str">
        <f>_xlfn.XLOOKUP(Table1[[#This Row],[SelGZ]]&amp;Table1[[#This Row],[Tipo de Servicio]],CatPEP!A:A,CatPEP!C:C,"")</f>
        <v/>
      </c>
      <c r="G15" t="str">
        <f>_xlfn.XLOOKUP(Table1[[#This Row],[PEP]],CatPEP!C:C,CatPEP!D:D,"")</f>
        <v/>
      </c>
      <c r="O15" s="53">
        <f>SUMIF('Registro Refacciones'!B:B, I15, 'Registro Refacciones'!I:I)</f>
        <v>0</v>
      </c>
      <c r="P15" s="26">
        <f>Table1[[#This Row],[Costo Servicio]]+Table1[[#This Row],[Refacciones]]</f>
        <v>0</v>
      </c>
      <c r="Q15" s="26"/>
    </row>
    <row r="16" spans="1:17">
      <c r="A16" s="37" t="str">
        <f>IF(Table1[[#This Row],[Tipo de Servicio]]="","",Caratula!$D$15)</f>
        <v/>
      </c>
      <c r="B16" s="37" t="str">
        <f>IF(Table1[[#This Row],[Tipo de Servicio]]="","",Caratula!$D$16)</f>
        <v/>
      </c>
      <c r="C16" s="24" t="str">
        <f>IF(Table1[[#This Row],[Tipo de Servicio]]="","",Caratula!$D$17)</f>
        <v/>
      </c>
      <c r="D16" s="38" t="str">
        <f>IF(ISBLANK(Table1[[#This Row],[Tipo de Servicio]]),"",Caratula!$D$16)</f>
        <v/>
      </c>
      <c r="F16" t="str">
        <f>_xlfn.XLOOKUP(Table1[[#This Row],[SelGZ]]&amp;Table1[[#This Row],[Tipo de Servicio]],CatPEP!A:A,CatPEP!C:C,"")</f>
        <v/>
      </c>
      <c r="G16" t="str">
        <f>_xlfn.XLOOKUP(Table1[[#This Row],[PEP]],CatPEP!C:C,CatPEP!D:D,"")</f>
        <v/>
      </c>
      <c r="O16" s="53">
        <f>SUMIF('Registro Refacciones'!B:B, I16, 'Registro Refacciones'!I:I)</f>
        <v>0</v>
      </c>
      <c r="P16" s="26">
        <f>Table1[[#This Row],[Costo Servicio]]+Table1[[#This Row],[Refacciones]]</f>
        <v>0</v>
      </c>
      <c r="Q16" s="26"/>
    </row>
    <row r="17" spans="1:17">
      <c r="A17" s="37" t="str">
        <f>IF(Table1[[#This Row],[Tipo de Servicio]]="","",Caratula!$D$15)</f>
        <v/>
      </c>
      <c r="B17" s="37" t="str">
        <f>IF(Table1[[#This Row],[Tipo de Servicio]]="","",Caratula!$D$16)</f>
        <v/>
      </c>
      <c r="C17" s="24" t="str">
        <f>IF(Table1[[#This Row],[Tipo de Servicio]]="","",Caratula!$D$17)</f>
        <v/>
      </c>
      <c r="D17" s="38" t="str">
        <f>IF(ISBLANK(Table1[[#This Row],[Tipo de Servicio]]),"",Caratula!$D$16)</f>
        <v/>
      </c>
      <c r="F17" t="str">
        <f>_xlfn.XLOOKUP(Table1[[#This Row],[SelGZ]]&amp;Table1[[#This Row],[Tipo de Servicio]],CatPEP!A:A,CatPEP!C:C,"")</f>
        <v/>
      </c>
      <c r="G17" t="str">
        <f>_xlfn.XLOOKUP(Table1[[#This Row],[PEP]],CatPEP!C:C,CatPEP!D:D,"")</f>
        <v/>
      </c>
      <c r="O17" s="53">
        <f>SUMIF('Registro Refacciones'!B:B, I17, 'Registro Refacciones'!I:I)</f>
        <v>0</v>
      </c>
      <c r="P17" s="26">
        <f>Table1[[#This Row],[Costo Servicio]]+Table1[[#This Row],[Refacciones]]</f>
        <v>0</v>
      </c>
      <c r="Q17" s="26"/>
    </row>
    <row r="18" spans="1:17">
      <c r="A18" s="37" t="str">
        <f>IF(Table1[[#This Row],[Tipo de Servicio]]="","",Caratula!$D$15)</f>
        <v/>
      </c>
      <c r="B18" s="37" t="str">
        <f>IF(Table1[[#This Row],[Tipo de Servicio]]="","",Caratula!$D$16)</f>
        <v/>
      </c>
      <c r="C18" s="24" t="str">
        <f>IF(Table1[[#This Row],[Tipo de Servicio]]="","",Caratula!$D$17)</f>
        <v/>
      </c>
      <c r="D18" s="38" t="str">
        <f>IF(ISBLANK(Table1[[#This Row],[Tipo de Servicio]]),"",Caratula!$D$16)</f>
        <v/>
      </c>
      <c r="F18" t="str">
        <f>_xlfn.XLOOKUP(Table1[[#This Row],[SelGZ]]&amp;Table1[[#This Row],[Tipo de Servicio]],CatPEP!A:A,CatPEP!C:C,"")</f>
        <v/>
      </c>
      <c r="G18" t="str">
        <f>_xlfn.XLOOKUP(Table1[[#This Row],[PEP]],CatPEP!C:C,CatPEP!D:D,"")</f>
        <v/>
      </c>
      <c r="O18" s="53">
        <f>SUMIF('Registro Refacciones'!B:B, I18, 'Registro Refacciones'!I:I)</f>
        <v>0</v>
      </c>
      <c r="P18" s="26">
        <f>Table1[[#This Row],[Costo Servicio]]+Table1[[#This Row],[Refacciones]]</f>
        <v>0</v>
      </c>
      <c r="Q18" s="26"/>
    </row>
    <row r="19" spans="1:17">
      <c r="A19" s="37" t="str">
        <f>IF(Table1[[#This Row],[Tipo de Servicio]]="","",Caratula!$D$15)</f>
        <v/>
      </c>
      <c r="B19" s="37" t="str">
        <f>IF(Table1[[#This Row],[Tipo de Servicio]]="","",Caratula!$D$16)</f>
        <v/>
      </c>
      <c r="C19" s="24" t="str">
        <f>IF(Table1[[#This Row],[Tipo de Servicio]]="","",Caratula!$D$17)</f>
        <v/>
      </c>
      <c r="D19" s="38" t="str">
        <f>IF(ISBLANK(Table1[[#This Row],[Tipo de Servicio]]),"",Caratula!$D$16)</f>
        <v/>
      </c>
      <c r="F19" t="str">
        <f>_xlfn.XLOOKUP(Table1[[#This Row],[SelGZ]]&amp;Table1[[#This Row],[Tipo de Servicio]],CatPEP!A:A,CatPEP!C:C,"")</f>
        <v/>
      </c>
      <c r="G19" t="str">
        <f>_xlfn.XLOOKUP(Table1[[#This Row],[PEP]],CatPEP!C:C,CatPEP!D:D,"")</f>
        <v/>
      </c>
      <c r="O19" s="53">
        <f>SUMIF('Registro Refacciones'!B:B, I19, 'Registro Refacciones'!I:I)</f>
        <v>0</v>
      </c>
      <c r="P19" s="26">
        <f>Table1[[#This Row],[Costo Servicio]]+Table1[[#This Row],[Refacciones]]</f>
        <v>0</v>
      </c>
      <c r="Q19" s="26"/>
    </row>
    <row r="20" spans="1:17">
      <c r="A20" s="37" t="str">
        <f>IF(Table1[[#This Row],[Tipo de Servicio]]="","",Caratula!$D$15)</f>
        <v/>
      </c>
      <c r="B20" s="37" t="str">
        <f>IF(Table1[[#This Row],[Tipo de Servicio]]="","",Caratula!$D$16)</f>
        <v/>
      </c>
      <c r="C20" s="24" t="str">
        <f>IF(Table1[[#This Row],[Tipo de Servicio]]="","",Caratula!$D$17)</f>
        <v/>
      </c>
      <c r="D20" s="38" t="str">
        <f>IF(ISBLANK(Table1[[#This Row],[Tipo de Servicio]]),"",Caratula!$D$16)</f>
        <v/>
      </c>
      <c r="F20" t="str">
        <f>_xlfn.XLOOKUP(Table1[[#This Row],[SelGZ]]&amp;Table1[[#This Row],[Tipo de Servicio]],CatPEP!A:A,CatPEP!C:C,"")</f>
        <v/>
      </c>
      <c r="G20" t="str">
        <f>_xlfn.XLOOKUP(Table1[[#This Row],[PEP]],CatPEP!C:C,CatPEP!D:D,"")</f>
        <v/>
      </c>
      <c r="O20" s="53">
        <f>SUMIF('Registro Refacciones'!B:B, I20, 'Registro Refacciones'!I:I)</f>
        <v>0</v>
      </c>
      <c r="P20" s="26">
        <f>Table1[[#This Row],[Costo Servicio]]+Table1[[#This Row],[Refacciones]]</f>
        <v>0</v>
      </c>
      <c r="Q20" s="26"/>
    </row>
    <row r="21" spans="1:17">
      <c r="A21" s="37" t="str">
        <f>IF(Table1[[#This Row],[Tipo de Servicio]]="","",Caratula!$D$15)</f>
        <v/>
      </c>
      <c r="B21" s="37" t="str">
        <f>IF(Table1[[#This Row],[Tipo de Servicio]]="","",Caratula!$D$16)</f>
        <v/>
      </c>
      <c r="C21" s="24" t="str">
        <f>IF(Table1[[#This Row],[Tipo de Servicio]]="","",Caratula!$D$17)</f>
        <v/>
      </c>
      <c r="D21" s="38" t="str">
        <f>IF(ISBLANK(Table1[[#This Row],[Tipo de Servicio]]),"",Caratula!$D$16)</f>
        <v/>
      </c>
      <c r="F21" t="str">
        <f>_xlfn.XLOOKUP(Table1[[#This Row],[SelGZ]]&amp;Table1[[#This Row],[Tipo de Servicio]],CatPEP!A:A,CatPEP!C:C,"")</f>
        <v/>
      </c>
      <c r="G21" t="str">
        <f>_xlfn.XLOOKUP(Table1[[#This Row],[PEP]],CatPEP!C:C,CatPEP!D:D,"")</f>
        <v/>
      </c>
      <c r="O21" s="53">
        <f>SUMIF('Registro Refacciones'!B:B, I21, 'Registro Refacciones'!I:I)</f>
        <v>0</v>
      </c>
      <c r="P21" s="26">
        <f>Table1[[#This Row],[Costo Servicio]]+Table1[[#This Row],[Refacciones]]</f>
        <v>0</v>
      </c>
      <c r="Q21" s="26"/>
    </row>
    <row r="22" spans="1:17">
      <c r="A22" s="37" t="str">
        <f>IF(Table1[[#This Row],[Tipo de Servicio]]="","",Caratula!$D$15)</f>
        <v/>
      </c>
      <c r="B22" s="37" t="str">
        <f>IF(Table1[[#This Row],[Tipo de Servicio]]="","",Caratula!$D$16)</f>
        <v/>
      </c>
      <c r="C22" s="24" t="str">
        <f>IF(Table1[[#This Row],[Tipo de Servicio]]="","",Caratula!$D$17)</f>
        <v/>
      </c>
      <c r="D22" s="38" t="str">
        <f>IF(ISBLANK(Table1[[#This Row],[Tipo de Servicio]]),"",Caratula!$D$16)</f>
        <v/>
      </c>
      <c r="F22" t="str">
        <f>_xlfn.XLOOKUP(Table1[[#This Row],[SelGZ]]&amp;Table1[[#This Row],[Tipo de Servicio]],CatPEP!A:A,CatPEP!C:C,"")</f>
        <v/>
      </c>
      <c r="G22" t="str">
        <f>_xlfn.XLOOKUP(Table1[[#This Row],[PEP]],CatPEP!C:C,CatPEP!D:D,"")</f>
        <v/>
      </c>
      <c r="O22" s="53">
        <f>SUMIF('Registro Refacciones'!B:B, I22, 'Registro Refacciones'!I:I)</f>
        <v>0</v>
      </c>
      <c r="P22" s="26">
        <f>Table1[[#This Row],[Costo Servicio]]+Table1[[#This Row],[Refacciones]]</f>
        <v>0</v>
      </c>
      <c r="Q22" s="26"/>
    </row>
    <row r="23" spans="1:17">
      <c r="A23" s="37" t="str">
        <f>IF(Table1[[#This Row],[Tipo de Servicio]]="","",Caratula!$D$15)</f>
        <v/>
      </c>
      <c r="B23" s="37" t="str">
        <f>IF(Table1[[#This Row],[Tipo de Servicio]]="","",Caratula!$D$16)</f>
        <v/>
      </c>
      <c r="C23" s="24" t="str">
        <f>IF(Table1[[#This Row],[Tipo de Servicio]]="","",Caratula!$D$17)</f>
        <v/>
      </c>
      <c r="D23" s="38" t="str">
        <f>IF(ISBLANK(Table1[[#This Row],[Tipo de Servicio]]),"",Caratula!$D$16)</f>
        <v/>
      </c>
      <c r="F23" t="str">
        <f>_xlfn.XLOOKUP(Table1[[#This Row],[SelGZ]]&amp;Table1[[#This Row],[Tipo de Servicio]],CatPEP!A:A,CatPEP!C:C,"")</f>
        <v/>
      </c>
      <c r="G23" t="str">
        <f>_xlfn.XLOOKUP(Table1[[#This Row],[PEP]],CatPEP!C:C,CatPEP!D:D,"")</f>
        <v/>
      </c>
      <c r="O23" s="53">
        <f>SUMIF('Registro Refacciones'!B:B, I23, 'Registro Refacciones'!I:I)</f>
        <v>0</v>
      </c>
      <c r="P23" s="26">
        <f>Table1[[#This Row],[Costo Servicio]]+Table1[[#This Row],[Refacciones]]</f>
        <v>0</v>
      </c>
      <c r="Q23" s="26"/>
    </row>
    <row r="24" spans="1:17">
      <c r="A24" s="37" t="str">
        <f>IF(Table1[[#This Row],[Tipo de Servicio]]="","",Caratula!$D$15)</f>
        <v/>
      </c>
      <c r="B24" s="37" t="str">
        <f>IF(Table1[[#This Row],[Tipo de Servicio]]="","",Caratula!$D$16)</f>
        <v/>
      </c>
      <c r="C24" s="24" t="str">
        <f>IF(Table1[[#This Row],[Tipo de Servicio]]="","",Caratula!$D$17)</f>
        <v/>
      </c>
      <c r="D24" s="38" t="str">
        <f>IF(ISBLANK(Table1[[#This Row],[Tipo de Servicio]]),"",Caratula!$D$16)</f>
        <v/>
      </c>
      <c r="F24" t="str">
        <f>_xlfn.XLOOKUP(Table1[[#This Row],[SelGZ]]&amp;Table1[[#This Row],[Tipo de Servicio]],CatPEP!A:A,CatPEP!C:C,"")</f>
        <v/>
      </c>
      <c r="G24" t="str">
        <f>_xlfn.XLOOKUP(Table1[[#This Row],[PEP]],CatPEP!C:C,CatPEP!D:D,"")</f>
        <v/>
      </c>
      <c r="O24" s="53">
        <f>SUMIF('Registro Refacciones'!B:B, I24, 'Registro Refacciones'!I:I)</f>
        <v>0</v>
      </c>
      <c r="P24" s="26">
        <f>Table1[[#This Row],[Costo Servicio]]+Table1[[#This Row],[Refacciones]]</f>
        <v>0</v>
      </c>
      <c r="Q24" s="26"/>
    </row>
    <row r="25" spans="1:17">
      <c r="A25" s="37" t="str">
        <f>IF(Table1[[#This Row],[Tipo de Servicio]]="","",Caratula!$D$15)</f>
        <v/>
      </c>
      <c r="B25" s="37" t="str">
        <f>IF(Table1[[#This Row],[Tipo de Servicio]]="","",Caratula!$D$16)</f>
        <v/>
      </c>
      <c r="C25" s="24" t="str">
        <f>IF(Table1[[#This Row],[Tipo de Servicio]]="","",Caratula!$D$17)</f>
        <v/>
      </c>
      <c r="D25" s="38" t="str">
        <f>IF(ISBLANK(Table1[[#This Row],[Tipo de Servicio]]),"",Caratula!$D$16)</f>
        <v/>
      </c>
      <c r="F25" t="str">
        <f>_xlfn.XLOOKUP(Table1[[#This Row],[SelGZ]]&amp;Table1[[#This Row],[Tipo de Servicio]],CatPEP!A:A,CatPEP!C:C,"")</f>
        <v/>
      </c>
      <c r="G25" t="str">
        <f>_xlfn.XLOOKUP(Table1[[#This Row],[PEP]],CatPEP!C:C,CatPEP!D:D,"")</f>
        <v/>
      </c>
      <c r="O25" s="53">
        <f>SUMIF('Registro Refacciones'!B:B, I25, 'Registro Refacciones'!I:I)</f>
        <v>0</v>
      </c>
      <c r="P25" s="26">
        <f>Table1[[#This Row],[Costo Servicio]]+Table1[[#This Row],[Refacciones]]</f>
        <v>0</v>
      </c>
      <c r="Q25" s="26"/>
    </row>
    <row r="26" spans="1:17">
      <c r="A26" s="37" t="str">
        <f>IF(Table1[[#This Row],[Tipo de Servicio]]="","",Caratula!$D$15)</f>
        <v/>
      </c>
      <c r="B26" s="37" t="str">
        <f>IF(Table1[[#This Row],[Tipo de Servicio]]="","",Caratula!$D$16)</f>
        <v/>
      </c>
      <c r="C26" s="24" t="str">
        <f>IF(Table1[[#This Row],[Tipo de Servicio]]="","",Caratula!$D$17)</f>
        <v/>
      </c>
      <c r="D26" s="38" t="str">
        <f>IF(ISBLANK(Table1[[#This Row],[Tipo de Servicio]]),"",Caratula!$D$16)</f>
        <v/>
      </c>
      <c r="F26" t="str">
        <f>_xlfn.XLOOKUP(Table1[[#This Row],[SelGZ]]&amp;Table1[[#This Row],[Tipo de Servicio]],CatPEP!A:A,CatPEP!C:C,"")</f>
        <v/>
      </c>
      <c r="G26" t="str">
        <f>_xlfn.XLOOKUP(Table1[[#This Row],[PEP]],CatPEP!C:C,CatPEP!D:D,"")</f>
        <v/>
      </c>
      <c r="O26" s="53">
        <f>SUMIF('Registro Refacciones'!B:B, I26, 'Registro Refacciones'!I:I)</f>
        <v>0</v>
      </c>
      <c r="P26" s="26">
        <f>Table1[[#This Row],[Costo Servicio]]+Table1[[#This Row],[Refacciones]]</f>
        <v>0</v>
      </c>
      <c r="Q26" s="26"/>
    </row>
    <row r="27" spans="1:17">
      <c r="A27" s="37" t="str">
        <f>IF(Table1[[#This Row],[Tipo de Servicio]]="","",Caratula!$D$15)</f>
        <v/>
      </c>
      <c r="B27" s="37" t="str">
        <f>IF(Table1[[#This Row],[Tipo de Servicio]]="","",Caratula!$D$16)</f>
        <v/>
      </c>
      <c r="C27" s="24" t="str">
        <f>IF(Table1[[#This Row],[Tipo de Servicio]]="","",Caratula!$D$17)</f>
        <v/>
      </c>
      <c r="D27" s="38" t="str">
        <f>IF(ISBLANK(Table1[[#This Row],[Tipo de Servicio]]),"",Caratula!$D$16)</f>
        <v/>
      </c>
      <c r="F27" t="str">
        <f>_xlfn.XLOOKUP(Table1[[#This Row],[SelGZ]]&amp;Table1[[#This Row],[Tipo de Servicio]],CatPEP!A:A,CatPEP!C:C,"")</f>
        <v/>
      </c>
      <c r="G27" t="str">
        <f>_xlfn.XLOOKUP(Table1[[#This Row],[PEP]],CatPEP!C:C,CatPEP!D:D,"")</f>
        <v/>
      </c>
      <c r="O27" s="53">
        <f>SUMIF('Registro Refacciones'!B:B, I27, 'Registro Refacciones'!I:I)</f>
        <v>0</v>
      </c>
      <c r="P27" s="26">
        <f>Table1[[#This Row],[Costo Servicio]]+Table1[[#This Row],[Refacciones]]</f>
        <v>0</v>
      </c>
      <c r="Q27" s="26"/>
    </row>
    <row r="28" spans="1:17">
      <c r="A28" s="37" t="str">
        <f>IF(Table1[[#This Row],[Tipo de Servicio]]="","",Caratula!$D$15)</f>
        <v/>
      </c>
      <c r="B28" s="37" t="str">
        <f>IF(Table1[[#This Row],[Tipo de Servicio]]="","",Caratula!$D$16)</f>
        <v/>
      </c>
      <c r="C28" s="24" t="str">
        <f>IF(Table1[[#This Row],[Tipo de Servicio]]="","",Caratula!$D$17)</f>
        <v/>
      </c>
      <c r="D28" s="38" t="str">
        <f>IF(ISBLANK(Table1[[#This Row],[Tipo de Servicio]]),"",Caratula!$D$16)</f>
        <v/>
      </c>
      <c r="F28" t="str">
        <f>_xlfn.XLOOKUP(Table1[[#This Row],[SelGZ]]&amp;Table1[[#This Row],[Tipo de Servicio]],CatPEP!A:A,CatPEP!C:C,"")</f>
        <v/>
      </c>
      <c r="G28" t="str">
        <f>_xlfn.XLOOKUP(Table1[[#This Row],[PEP]],CatPEP!C:C,CatPEP!D:D,"")</f>
        <v/>
      </c>
      <c r="O28" s="53">
        <f>SUMIF('Registro Refacciones'!B:B, I28, 'Registro Refacciones'!I:I)</f>
        <v>0</v>
      </c>
      <c r="P28" s="26">
        <f>Table1[[#This Row],[Costo Servicio]]+Table1[[#This Row],[Refacciones]]</f>
        <v>0</v>
      </c>
      <c r="Q28" s="26"/>
    </row>
    <row r="29" spans="1:17">
      <c r="A29" s="37" t="str">
        <f>IF(Table1[[#This Row],[Tipo de Servicio]]="","",Caratula!$D$15)</f>
        <v/>
      </c>
      <c r="B29" s="37" t="str">
        <f>IF(Table1[[#This Row],[Tipo de Servicio]]="","",Caratula!$D$16)</f>
        <v/>
      </c>
      <c r="C29" s="24" t="str">
        <f>IF(Table1[[#This Row],[Tipo de Servicio]]="","",Caratula!$D$17)</f>
        <v/>
      </c>
      <c r="D29" s="38" t="str">
        <f>IF(ISBLANK(Table1[[#This Row],[Tipo de Servicio]]),"",Caratula!$D$16)</f>
        <v/>
      </c>
      <c r="F29" t="str">
        <f>_xlfn.XLOOKUP(Table1[[#This Row],[SelGZ]]&amp;Table1[[#This Row],[Tipo de Servicio]],CatPEP!A:A,CatPEP!C:C,"")</f>
        <v/>
      </c>
      <c r="G29" t="str">
        <f>_xlfn.XLOOKUP(Table1[[#This Row],[PEP]],CatPEP!C:C,CatPEP!D:D,"")</f>
        <v/>
      </c>
      <c r="O29" s="53">
        <f>SUMIF('Registro Refacciones'!B:B, I29, 'Registro Refacciones'!I:I)</f>
        <v>0</v>
      </c>
      <c r="P29" s="26">
        <f>Table1[[#This Row],[Costo Servicio]]+Table1[[#This Row],[Refacciones]]</f>
        <v>0</v>
      </c>
      <c r="Q29" s="26"/>
    </row>
    <row r="30" spans="1:17">
      <c r="A30" s="37" t="str">
        <f>IF(Table1[[#This Row],[Tipo de Servicio]]="","",Caratula!$D$15)</f>
        <v/>
      </c>
      <c r="B30" s="37" t="str">
        <f>IF(Table1[[#This Row],[Tipo de Servicio]]="","",Caratula!$D$16)</f>
        <v/>
      </c>
      <c r="C30" s="24" t="str">
        <f>IF(Table1[[#This Row],[Tipo de Servicio]]="","",Caratula!$D$17)</f>
        <v/>
      </c>
      <c r="D30" s="38" t="str">
        <f>IF(ISBLANK(Table1[[#This Row],[Tipo de Servicio]]),"",Caratula!$D$16)</f>
        <v/>
      </c>
      <c r="F30" t="str">
        <f>_xlfn.XLOOKUP(Table1[[#This Row],[SelGZ]]&amp;Table1[[#This Row],[Tipo de Servicio]],CatPEP!A:A,CatPEP!C:C,"")</f>
        <v/>
      </c>
      <c r="G30" t="str">
        <f>_xlfn.XLOOKUP(Table1[[#This Row],[PEP]],CatPEP!C:C,CatPEP!D:D,"")</f>
        <v/>
      </c>
      <c r="O30" s="53">
        <f>SUMIF('Registro Refacciones'!B:B, I30, 'Registro Refacciones'!I:I)</f>
        <v>0</v>
      </c>
      <c r="P30" s="26">
        <f>Table1[[#This Row],[Costo Servicio]]+Table1[[#This Row],[Refacciones]]</f>
        <v>0</v>
      </c>
      <c r="Q30" s="26"/>
    </row>
    <row r="31" spans="1:17">
      <c r="A31" s="37" t="str">
        <f>IF(Table1[[#This Row],[Tipo de Servicio]]="","",Caratula!$D$15)</f>
        <v/>
      </c>
      <c r="B31" s="37" t="str">
        <f>IF(Table1[[#This Row],[Tipo de Servicio]]="","",Caratula!$D$16)</f>
        <v/>
      </c>
      <c r="C31" s="24" t="str">
        <f>IF(Table1[[#This Row],[Tipo de Servicio]]="","",Caratula!$D$17)</f>
        <v/>
      </c>
      <c r="D31" s="38" t="str">
        <f>IF(ISBLANK(Table1[[#This Row],[Tipo de Servicio]]),"",Caratula!$D$16)</f>
        <v/>
      </c>
      <c r="F31" t="str">
        <f>_xlfn.XLOOKUP(Table1[[#This Row],[SelGZ]]&amp;Table1[[#This Row],[Tipo de Servicio]],CatPEP!A:A,CatPEP!C:C,"")</f>
        <v/>
      </c>
      <c r="G31" t="str">
        <f>_xlfn.XLOOKUP(Table1[[#This Row],[PEP]],CatPEP!C:C,CatPEP!D:D,"")</f>
        <v/>
      </c>
      <c r="O31" s="53">
        <f>SUMIF('Registro Refacciones'!B:B, I31, 'Registro Refacciones'!I:I)</f>
        <v>0</v>
      </c>
      <c r="P31" s="26">
        <f>Table1[[#This Row],[Costo Servicio]]+Table1[[#This Row],[Refacciones]]</f>
        <v>0</v>
      </c>
      <c r="Q31" s="26"/>
    </row>
    <row r="32" spans="1:17">
      <c r="A32" s="37" t="str">
        <f>IF(Table1[[#This Row],[Tipo de Servicio]]="","",Caratula!$D$15)</f>
        <v/>
      </c>
      <c r="B32" s="37" t="str">
        <f>IF(Table1[[#This Row],[Tipo de Servicio]]="","",Caratula!$D$16)</f>
        <v/>
      </c>
      <c r="C32" s="24" t="str">
        <f>IF(Table1[[#This Row],[Tipo de Servicio]]="","",Caratula!$D$17)</f>
        <v/>
      </c>
      <c r="D32" s="38" t="str">
        <f>IF(ISBLANK(Table1[[#This Row],[Tipo de Servicio]]),"",Caratula!$D$16)</f>
        <v/>
      </c>
      <c r="F32" t="str">
        <f>_xlfn.XLOOKUP(Table1[[#This Row],[SelGZ]]&amp;Table1[[#This Row],[Tipo de Servicio]],CatPEP!A:A,CatPEP!C:C,"")</f>
        <v/>
      </c>
      <c r="G32" t="str">
        <f>_xlfn.XLOOKUP(Table1[[#This Row],[PEP]],CatPEP!C:C,CatPEP!D:D,"")</f>
        <v/>
      </c>
      <c r="O32" s="53">
        <f>SUMIF('Registro Refacciones'!B:B, I32, 'Registro Refacciones'!I:I)</f>
        <v>0</v>
      </c>
      <c r="P32" s="26">
        <f>Table1[[#This Row],[Costo Servicio]]+Table1[[#This Row],[Refacciones]]</f>
        <v>0</v>
      </c>
      <c r="Q32" s="26"/>
    </row>
    <row r="33" spans="1:17">
      <c r="A33" s="37" t="str">
        <f>IF(Table1[[#This Row],[Tipo de Servicio]]="","",Caratula!$D$15)</f>
        <v/>
      </c>
      <c r="B33" s="37" t="str">
        <f>IF(Table1[[#This Row],[Tipo de Servicio]]="","",Caratula!$D$16)</f>
        <v/>
      </c>
      <c r="C33" s="24" t="str">
        <f>IF(Table1[[#This Row],[Tipo de Servicio]]="","",Caratula!$D$17)</f>
        <v/>
      </c>
      <c r="D33" s="38" t="str">
        <f>IF(ISBLANK(Table1[[#This Row],[Tipo de Servicio]]),"",Caratula!$D$16)</f>
        <v/>
      </c>
      <c r="F33" t="str">
        <f>_xlfn.XLOOKUP(Table1[[#This Row],[SelGZ]]&amp;Table1[[#This Row],[Tipo de Servicio]],CatPEP!A:A,CatPEP!C:C,"")</f>
        <v/>
      </c>
      <c r="G33" t="str">
        <f>_xlfn.XLOOKUP(Table1[[#This Row],[PEP]],CatPEP!C:C,CatPEP!D:D,"")</f>
        <v/>
      </c>
      <c r="O33" s="53">
        <f>SUMIF('Registro Refacciones'!B:B, I33, 'Registro Refacciones'!I:I)</f>
        <v>0</v>
      </c>
      <c r="P33" s="26">
        <f>Table1[[#This Row],[Costo Servicio]]+Table1[[#This Row],[Refacciones]]</f>
        <v>0</v>
      </c>
      <c r="Q33" s="26"/>
    </row>
    <row r="34" spans="1:17">
      <c r="A34" s="37" t="str">
        <f>IF(Table1[[#This Row],[Tipo de Servicio]]="","",Caratula!$D$15)</f>
        <v/>
      </c>
      <c r="B34" s="37" t="str">
        <f>IF(Table1[[#This Row],[Tipo de Servicio]]="","",Caratula!$D$16)</f>
        <v/>
      </c>
      <c r="C34" s="24" t="str">
        <f>IF(Table1[[#This Row],[Tipo de Servicio]]="","",Caratula!$D$17)</f>
        <v/>
      </c>
      <c r="D34" s="38" t="str">
        <f>IF(ISBLANK(Table1[[#This Row],[Tipo de Servicio]]),"",Caratula!$D$16)</f>
        <v/>
      </c>
      <c r="F34" t="str">
        <f>_xlfn.XLOOKUP(Table1[[#This Row],[SelGZ]]&amp;Table1[[#This Row],[Tipo de Servicio]],CatPEP!A:A,CatPEP!C:C,"")</f>
        <v/>
      </c>
      <c r="G34" t="str">
        <f>_xlfn.XLOOKUP(Table1[[#This Row],[PEP]],CatPEP!C:C,CatPEP!D:D,"")</f>
        <v/>
      </c>
      <c r="O34" s="53">
        <f>SUMIF('Registro Refacciones'!B:B, I34, 'Registro Refacciones'!I:I)</f>
        <v>0</v>
      </c>
      <c r="P34" s="26">
        <f>Table1[[#This Row],[Costo Servicio]]+Table1[[#This Row],[Refacciones]]</f>
        <v>0</v>
      </c>
      <c r="Q34" s="26"/>
    </row>
    <row r="35" spans="1:17">
      <c r="A35" s="37" t="str">
        <f>IF(Table1[[#This Row],[Tipo de Servicio]]="","",Caratula!$D$15)</f>
        <v/>
      </c>
      <c r="B35" s="37" t="str">
        <f>IF(Table1[[#This Row],[Tipo de Servicio]]="","",Caratula!$D$16)</f>
        <v/>
      </c>
      <c r="C35" s="24" t="str">
        <f>IF(Table1[[#This Row],[Tipo de Servicio]]="","",Caratula!$D$17)</f>
        <v/>
      </c>
      <c r="D35" s="38" t="str">
        <f>IF(ISBLANK(Table1[[#This Row],[Tipo de Servicio]]),"",Caratula!$D$16)</f>
        <v/>
      </c>
      <c r="F35" t="str">
        <f>_xlfn.XLOOKUP(Table1[[#This Row],[SelGZ]]&amp;Table1[[#This Row],[Tipo de Servicio]],CatPEP!A:A,CatPEP!C:C,"")</f>
        <v/>
      </c>
      <c r="G35" t="str">
        <f>_xlfn.XLOOKUP(Table1[[#This Row],[PEP]],CatPEP!C:C,CatPEP!D:D,"")</f>
        <v/>
      </c>
      <c r="O35" s="53">
        <f>SUMIF('Registro Refacciones'!B:B, I35, 'Registro Refacciones'!I:I)</f>
        <v>0</v>
      </c>
      <c r="P35" s="26">
        <f>Table1[[#This Row],[Costo Servicio]]+Table1[[#This Row],[Refacciones]]</f>
        <v>0</v>
      </c>
      <c r="Q35" s="26"/>
    </row>
    <row r="36" spans="1:17">
      <c r="A36" s="37" t="str">
        <f>IF(Table1[[#This Row],[Tipo de Servicio]]="","",Caratula!$D$15)</f>
        <v/>
      </c>
      <c r="B36" s="37" t="str">
        <f>IF(Table1[[#This Row],[Tipo de Servicio]]="","",Caratula!$D$16)</f>
        <v/>
      </c>
      <c r="C36" s="24" t="str">
        <f>IF(Table1[[#This Row],[Tipo de Servicio]]="","",Caratula!$D$17)</f>
        <v/>
      </c>
      <c r="D36" s="38" t="str">
        <f>IF(ISBLANK(Table1[[#This Row],[Tipo de Servicio]]),"",Caratula!$D$16)</f>
        <v/>
      </c>
      <c r="F36" t="str">
        <f>_xlfn.XLOOKUP(Table1[[#This Row],[SelGZ]]&amp;Table1[[#This Row],[Tipo de Servicio]],CatPEP!A:A,CatPEP!C:C,"")</f>
        <v/>
      </c>
      <c r="G36" t="str">
        <f>_xlfn.XLOOKUP(Table1[[#This Row],[PEP]],CatPEP!C:C,CatPEP!D:D,"")</f>
        <v/>
      </c>
      <c r="O36" s="53">
        <f>SUMIF('Registro Refacciones'!B:B, I36, 'Registro Refacciones'!I:I)</f>
        <v>0</v>
      </c>
      <c r="P36" s="26">
        <f>Table1[[#This Row],[Costo Servicio]]+Table1[[#This Row],[Refacciones]]</f>
        <v>0</v>
      </c>
      <c r="Q36" s="26"/>
    </row>
    <row r="37" spans="1:17">
      <c r="A37" s="37" t="str">
        <f>IF(Table1[[#This Row],[Tipo de Servicio]]="","",Caratula!$D$15)</f>
        <v/>
      </c>
      <c r="B37" s="37" t="str">
        <f>IF(Table1[[#This Row],[Tipo de Servicio]]="","",Caratula!$D$16)</f>
        <v/>
      </c>
      <c r="C37" s="24" t="str">
        <f>IF(Table1[[#This Row],[Tipo de Servicio]]="","",Caratula!$D$17)</f>
        <v/>
      </c>
      <c r="D37" s="38" t="str">
        <f>IF(ISBLANK(Table1[[#This Row],[Tipo de Servicio]]),"",Caratula!$D$16)</f>
        <v/>
      </c>
      <c r="F37" t="str">
        <f>_xlfn.XLOOKUP(Table1[[#This Row],[SelGZ]]&amp;Table1[[#This Row],[Tipo de Servicio]],CatPEP!A:A,CatPEP!C:C,"")</f>
        <v/>
      </c>
      <c r="G37" t="str">
        <f>_xlfn.XLOOKUP(Table1[[#This Row],[PEP]],CatPEP!C:C,CatPEP!D:D,"")</f>
        <v/>
      </c>
      <c r="O37" s="53">
        <f>SUMIF('Registro Refacciones'!B:B, I37, 'Registro Refacciones'!I:I)</f>
        <v>0</v>
      </c>
      <c r="P37" s="26">
        <f>Table1[[#This Row],[Costo Servicio]]+Table1[[#This Row],[Refacciones]]</f>
        <v>0</v>
      </c>
      <c r="Q37" s="26"/>
    </row>
    <row r="38" spans="1:17">
      <c r="A38" s="37" t="str">
        <f>IF(Table1[[#This Row],[Tipo de Servicio]]="","",Caratula!$D$15)</f>
        <v/>
      </c>
      <c r="B38" s="37" t="str">
        <f>IF(Table1[[#This Row],[Tipo de Servicio]]="","",Caratula!$D$16)</f>
        <v/>
      </c>
      <c r="C38" s="24" t="str">
        <f>IF(Table1[[#This Row],[Tipo de Servicio]]="","",Caratula!$D$17)</f>
        <v/>
      </c>
      <c r="D38" s="38" t="str">
        <f>IF(ISBLANK(Table1[[#This Row],[Tipo de Servicio]]),"",Caratula!$D$16)</f>
        <v/>
      </c>
      <c r="F38" t="str">
        <f>_xlfn.XLOOKUP(Table1[[#This Row],[SelGZ]]&amp;Table1[[#This Row],[Tipo de Servicio]],CatPEP!A:A,CatPEP!C:C,"")</f>
        <v/>
      </c>
      <c r="G38" t="str">
        <f>_xlfn.XLOOKUP(Table1[[#This Row],[PEP]],CatPEP!C:C,CatPEP!D:D,"")</f>
        <v/>
      </c>
      <c r="O38" s="53">
        <f>SUMIF('Registro Refacciones'!B:B, I38, 'Registro Refacciones'!I:I)</f>
        <v>0</v>
      </c>
      <c r="P38" s="26">
        <f>Table1[[#This Row],[Costo Servicio]]+Table1[[#This Row],[Refacciones]]</f>
        <v>0</v>
      </c>
      <c r="Q38" s="26"/>
    </row>
    <row r="39" spans="1:17">
      <c r="A39" s="37" t="str">
        <f>IF(Table1[[#This Row],[Tipo de Servicio]]="","",Caratula!$D$15)</f>
        <v/>
      </c>
      <c r="B39" s="37" t="str">
        <f>IF(Table1[[#This Row],[Tipo de Servicio]]="","",Caratula!$D$16)</f>
        <v/>
      </c>
      <c r="C39" s="24" t="str">
        <f>IF(Table1[[#This Row],[Tipo de Servicio]]="","",Caratula!$D$17)</f>
        <v/>
      </c>
      <c r="D39" s="38" t="str">
        <f>IF(ISBLANK(Table1[[#This Row],[Tipo de Servicio]]),"",Caratula!$D$16)</f>
        <v/>
      </c>
      <c r="F39" t="str">
        <f>_xlfn.XLOOKUP(Table1[[#This Row],[SelGZ]]&amp;Table1[[#This Row],[Tipo de Servicio]],CatPEP!A:A,CatPEP!C:C,"")</f>
        <v/>
      </c>
      <c r="G39" t="str">
        <f>_xlfn.XLOOKUP(Table1[[#This Row],[PEP]],CatPEP!C:C,CatPEP!D:D,"")</f>
        <v/>
      </c>
      <c r="O39" s="53">
        <f>SUMIF('Registro Refacciones'!B:B, I39, 'Registro Refacciones'!I:I)</f>
        <v>0</v>
      </c>
      <c r="P39" s="26">
        <f>Table1[[#This Row],[Costo Servicio]]+Table1[[#This Row],[Refacciones]]</f>
        <v>0</v>
      </c>
      <c r="Q39" s="26"/>
    </row>
    <row r="40" spans="1:17">
      <c r="A40" s="37" t="str">
        <f>IF(Table1[[#This Row],[Tipo de Servicio]]="","",Caratula!$D$15)</f>
        <v/>
      </c>
      <c r="B40" s="37" t="str">
        <f>IF(Table1[[#This Row],[Tipo de Servicio]]="","",Caratula!$D$16)</f>
        <v/>
      </c>
      <c r="C40" s="24" t="str">
        <f>IF(Table1[[#This Row],[Tipo de Servicio]]="","",Caratula!$D$17)</f>
        <v/>
      </c>
      <c r="D40" s="38" t="str">
        <f>IF(ISBLANK(Table1[[#This Row],[Tipo de Servicio]]),"",Caratula!$D$16)</f>
        <v/>
      </c>
      <c r="F40" t="str">
        <f>_xlfn.XLOOKUP(Table1[[#This Row],[SelGZ]]&amp;Table1[[#This Row],[Tipo de Servicio]],CatPEP!A:A,CatPEP!C:C,"")</f>
        <v/>
      </c>
      <c r="G40" t="str">
        <f>_xlfn.XLOOKUP(Table1[[#This Row],[PEP]],CatPEP!C:C,CatPEP!D:D,"")</f>
        <v/>
      </c>
      <c r="O40" s="53">
        <f>SUMIF('Registro Refacciones'!B:B, I40, 'Registro Refacciones'!I:I)</f>
        <v>0</v>
      </c>
      <c r="P40" s="26">
        <f>Table1[[#This Row],[Costo Servicio]]+Table1[[#This Row],[Refacciones]]</f>
        <v>0</v>
      </c>
      <c r="Q40" s="26"/>
    </row>
    <row r="41" spans="1:17">
      <c r="A41" s="37" t="str">
        <f>IF(Table1[[#This Row],[Tipo de Servicio]]="","",Caratula!$D$15)</f>
        <v/>
      </c>
      <c r="B41" s="37" t="str">
        <f>IF(Table1[[#This Row],[Tipo de Servicio]]="","",Caratula!$D$16)</f>
        <v/>
      </c>
      <c r="C41" s="24" t="str">
        <f>IF(Table1[[#This Row],[Tipo de Servicio]]="","",Caratula!$D$17)</f>
        <v/>
      </c>
      <c r="D41" s="38" t="str">
        <f>IF(ISBLANK(Table1[[#This Row],[Tipo de Servicio]]),"",Caratula!$D$16)</f>
        <v/>
      </c>
      <c r="F41" t="str">
        <f>_xlfn.XLOOKUP(Table1[[#This Row],[SelGZ]]&amp;Table1[[#This Row],[Tipo de Servicio]],CatPEP!A:A,CatPEP!C:C,"")</f>
        <v/>
      </c>
      <c r="G41" t="str">
        <f>_xlfn.XLOOKUP(Table1[[#This Row],[PEP]],CatPEP!C:C,CatPEP!D:D,"")</f>
        <v/>
      </c>
      <c r="O41" s="53">
        <f>SUMIF('Registro Refacciones'!B:B, I41, 'Registro Refacciones'!I:I)</f>
        <v>0</v>
      </c>
      <c r="P41" s="26">
        <f>Table1[[#This Row],[Costo Servicio]]+Table1[[#This Row],[Refacciones]]</f>
        <v>0</v>
      </c>
      <c r="Q41" s="26"/>
    </row>
    <row r="42" spans="1:17">
      <c r="A42" s="37" t="str">
        <f>IF(Table1[[#This Row],[Tipo de Servicio]]="","",Caratula!$D$15)</f>
        <v/>
      </c>
      <c r="B42" s="37" t="str">
        <f>IF(Table1[[#This Row],[Tipo de Servicio]]="","",Caratula!$D$16)</f>
        <v/>
      </c>
      <c r="C42" s="24" t="str">
        <f>IF(Table1[[#This Row],[Tipo de Servicio]]="","",Caratula!$D$17)</f>
        <v/>
      </c>
      <c r="D42" s="38" t="str">
        <f>IF(ISBLANK(Table1[[#This Row],[Tipo de Servicio]]),"",Caratula!$D$16)</f>
        <v/>
      </c>
      <c r="F42" t="str">
        <f>_xlfn.XLOOKUP(Table1[[#This Row],[SelGZ]]&amp;Table1[[#This Row],[Tipo de Servicio]],CatPEP!A:A,CatPEP!C:C,"")</f>
        <v/>
      </c>
      <c r="G42" t="str">
        <f>_xlfn.XLOOKUP(Table1[[#This Row],[PEP]],CatPEP!C:C,CatPEP!D:D,"")</f>
        <v/>
      </c>
      <c r="O42" s="53">
        <f>SUMIF('Registro Refacciones'!B:B, I42, 'Registro Refacciones'!I:I)</f>
        <v>0</v>
      </c>
      <c r="P42" s="26">
        <f>Table1[[#This Row],[Costo Servicio]]+Table1[[#This Row],[Refacciones]]</f>
        <v>0</v>
      </c>
      <c r="Q42" s="26"/>
    </row>
    <row r="43" spans="1:17">
      <c r="A43" s="37" t="str">
        <f>IF(Table1[[#This Row],[Tipo de Servicio]]="","",Caratula!$D$15)</f>
        <v/>
      </c>
      <c r="B43" s="37" t="str">
        <f>IF(Table1[[#This Row],[Tipo de Servicio]]="","",Caratula!$D$16)</f>
        <v/>
      </c>
      <c r="C43" s="24" t="str">
        <f>IF(Table1[[#This Row],[Tipo de Servicio]]="","",Caratula!$D$17)</f>
        <v/>
      </c>
      <c r="D43" s="38" t="str">
        <f>IF(ISBLANK(Table1[[#This Row],[Tipo de Servicio]]),"",Caratula!$D$16)</f>
        <v/>
      </c>
      <c r="F43" t="str">
        <f>_xlfn.XLOOKUP(Table1[[#This Row],[SelGZ]]&amp;Table1[[#This Row],[Tipo de Servicio]],CatPEP!A:A,CatPEP!C:C,"")</f>
        <v/>
      </c>
      <c r="G43" t="str">
        <f>_xlfn.XLOOKUP(Table1[[#This Row],[PEP]],CatPEP!C:C,CatPEP!D:D,"")</f>
        <v/>
      </c>
      <c r="O43" s="53">
        <f>SUMIF('Registro Refacciones'!B:B, I43, 'Registro Refacciones'!I:I)</f>
        <v>0</v>
      </c>
      <c r="P43" s="26">
        <f>Table1[[#This Row],[Costo Servicio]]+Table1[[#This Row],[Refacciones]]</f>
        <v>0</v>
      </c>
      <c r="Q43" s="26"/>
    </row>
    <row r="44" spans="1:17">
      <c r="A44" s="37" t="str">
        <f>IF(Table1[[#This Row],[Tipo de Servicio]]="","",Caratula!$D$15)</f>
        <v/>
      </c>
      <c r="B44" s="37" t="str">
        <f>IF(Table1[[#This Row],[Tipo de Servicio]]="","",Caratula!$D$16)</f>
        <v/>
      </c>
      <c r="C44" s="24" t="str">
        <f>IF(Table1[[#This Row],[Tipo de Servicio]]="","",Caratula!$D$17)</f>
        <v/>
      </c>
      <c r="D44" s="38" t="str">
        <f>IF(ISBLANK(Table1[[#This Row],[Tipo de Servicio]]),"",Caratula!$D$16)</f>
        <v/>
      </c>
      <c r="F44" t="str">
        <f>_xlfn.XLOOKUP(Table1[[#This Row],[SelGZ]]&amp;Table1[[#This Row],[Tipo de Servicio]],CatPEP!A:A,CatPEP!C:C,"")</f>
        <v/>
      </c>
      <c r="G44" t="str">
        <f>_xlfn.XLOOKUP(Table1[[#This Row],[PEP]],CatPEP!C:C,CatPEP!D:D,"")</f>
        <v/>
      </c>
      <c r="O44" s="53">
        <f>SUMIF('Registro Refacciones'!B:B, I44, 'Registro Refacciones'!I:I)</f>
        <v>0</v>
      </c>
      <c r="P44" s="26">
        <f>Table1[[#This Row],[Costo Servicio]]+Table1[[#This Row],[Refacciones]]</f>
        <v>0</v>
      </c>
      <c r="Q44" s="26"/>
    </row>
    <row r="45" spans="1:17">
      <c r="A45" s="37" t="str">
        <f>IF(Table1[[#This Row],[Tipo de Servicio]]="","",Caratula!$D$15)</f>
        <v/>
      </c>
      <c r="B45" s="37" t="str">
        <f>IF(Table1[[#This Row],[Tipo de Servicio]]="","",Caratula!$D$16)</f>
        <v/>
      </c>
      <c r="C45" s="24" t="str">
        <f>IF(Table1[[#This Row],[Tipo de Servicio]]="","",Caratula!$D$17)</f>
        <v/>
      </c>
      <c r="D45" s="38" t="str">
        <f>IF(ISBLANK(Table1[[#This Row],[Tipo de Servicio]]),"",Caratula!$D$16)</f>
        <v/>
      </c>
      <c r="F45" t="str">
        <f>_xlfn.XLOOKUP(Table1[[#This Row],[SelGZ]]&amp;Table1[[#This Row],[Tipo de Servicio]],CatPEP!A:A,CatPEP!C:C,"")</f>
        <v/>
      </c>
      <c r="G45" t="str">
        <f>_xlfn.XLOOKUP(Table1[[#This Row],[PEP]],CatPEP!C:C,CatPEP!D:D,"")</f>
        <v/>
      </c>
      <c r="O45" s="53">
        <f>SUMIF('Registro Refacciones'!B:B, I45, 'Registro Refacciones'!I:I)</f>
        <v>0</v>
      </c>
      <c r="P45" s="26">
        <f>Table1[[#This Row],[Costo Servicio]]+Table1[[#This Row],[Refacciones]]</f>
        <v>0</v>
      </c>
      <c r="Q45" s="26"/>
    </row>
    <row r="46" spans="1:17">
      <c r="A46" s="37" t="str">
        <f>IF(Table1[[#This Row],[Tipo de Servicio]]="","",Caratula!$D$15)</f>
        <v/>
      </c>
      <c r="B46" s="37" t="str">
        <f>IF(Table1[[#This Row],[Tipo de Servicio]]="","",Caratula!$D$16)</f>
        <v/>
      </c>
      <c r="C46" s="24" t="str">
        <f>IF(Table1[[#This Row],[Tipo de Servicio]]="","",Caratula!$D$17)</f>
        <v/>
      </c>
      <c r="D46" s="38" t="str">
        <f>IF(ISBLANK(Table1[[#This Row],[Tipo de Servicio]]),"",Caratula!$D$16)</f>
        <v/>
      </c>
      <c r="F46" t="str">
        <f>_xlfn.XLOOKUP(Table1[[#This Row],[SelGZ]]&amp;Table1[[#This Row],[Tipo de Servicio]],CatPEP!A:A,CatPEP!C:C,"")</f>
        <v/>
      </c>
      <c r="G46" t="str">
        <f>_xlfn.XLOOKUP(Table1[[#This Row],[PEP]],CatPEP!C:C,CatPEP!D:D,"")</f>
        <v/>
      </c>
      <c r="O46" s="53">
        <f>SUMIF('Registro Refacciones'!B:B, I46, 'Registro Refacciones'!I:I)</f>
        <v>0</v>
      </c>
      <c r="P46" s="26">
        <f>Table1[[#This Row],[Costo Servicio]]+Table1[[#This Row],[Refacciones]]</f>
        <v>0</v>
      </c>
      <c r="Q46" s="26"/>
    </row>
    <row r="47" spans="1:17">
      <c r="A47" s="37" t="str">
        <f>IF(Table1[[#This Row],[Tipo de Servicio]]="","",Caratula!$D$15)</f>
        <v/>
      </c>
      <c r="B47" s="37" t="str">
        <f>IF(Table1[[#This Row],[Tipo de Servicio]]="","",Caratula!$D$16)</f>
        <v/>
      </c>
      <c r="C47" s="24" t="str">
        <f>IF(Table1[[#This Row],[Tipo de Servicio]]="","",Caratula!$D$17)</f>
        <v/>
      </c>
      <c r="D47" s="38" t="str">
        <f>IF(ISBLANK(Table1[[#This Row],[Tipo de Servicio]]),"",Caratula!$D$16)</f>
        <v/>
      </c>
      <c r="F47" t="str">
        <f>_xlfn.XLOOKUP(Table1[[#This Row],[SelGZ]]&amp;Table1[[#This Row],[Tipo de Servicio]],CatPEP!A:A,CatPEP!C:C,"")</f>
        <v/>
      </c>
      <c r="G47" t="str">
        <f>_xlfn.XLOOKUP(Table1[[#This Row],[PEP]],CatPEP!C:C,CatPEP!D:D,"")</f>
        <v/>
      </c>
      <c r="O47" s="53">
        <f>SUMIF('Registro Refacciones'!B:B, I47, 'Registro Refacciones'!I:I)</f>
        <v>0</v>
      </c>
      <c r="P47" s="26">
        <f>Table1[[#This Row],[Costo Servicio]]+Table1[[#This Row],[Refacciones]]</f>
        <v>0</v>
      </c>
      <c r="Q47" s="26"/>
    </row>
    <row r="48" spans="1:17">
      <c r="A48" s="37" t="str">
        <f>IF(Table1[[#This Row],[Tipo de Servicio]]="","",Caratula!$D$15)</f>
        <v/>
      </c>
      <c r="B48" s="37" t="str">
        <f>IF(Table1[[#This Row],[Tipo de Servicio]]="","",Caratula!$D$16)</f>
        <v/>
      </c>
      <c r="C48" s="24" t="str">
        <f>IF(Table1[[#This Row],[Tipo de Servicio]]="","",Caratula!$D$17)</f>
        <v/>
      </c>
      <c r="D48" s="38" t="str">
        <f>IF(ISBLANK(Table1[[#This Row],[Tipo de Servicio]]),"",Caratula!$D$16)</f>
        <v/>
      </c>
      <c r="F48" t="str">
        <f>_xlfn.XLOOKUP(Table1[[#This Row],[SelGZ]]&amp;Table1[[#This Row],[Tipo de Servicio]],CatPEP!A:A,CatPEP!C:C,"")</f>
        <v/>
      </c>
      <c r="G48" t="str">
        <f>_xlfn.XLOOKUP(Table1[[#This Row],[PEP]],CatPEP!C:C,CatPEP!D:D,"")</f>
        <v/>
      </c>
      <c r="O48" s="53">
        <f>SUMIF('Registro Refacciones'!B:B, I48, 'Registro Refacciones'!I:I)</f>
        <v>0</v>
      </c>
      <c r="P48" s="26">
        <f>Table1[[#This Row],[Costo Servicio]]+Table1[[#This Row],[Refacciones]]</f>
        <v>0</v>
      </c>
      <c r="Q48" s="26"/>
    </row>
    <row r="49" spans="1:17">
      <c r="A49" s="37" t="str">
        <f>IF(Table1[[#This Row],[Tipo de Servicio]]="","",Caratula!$D$15)</f>
        <v/>
      </c>
      <c r="B49" s="37" t="str">
        <f>IF(Table1[[#This Row],[Tipo de Servicio]]="","",Caratula!$D$16)</f>
        <v/>
      </c>
      <c r="C49" s="24" t="str">
        <f>IF(Table1[[#This Row],[Tipo de Servicio]]="","",Caratula!$D$17)</f>
        <v/>
      </c>
      <c r="D49" s="38" t="str">
        <f>IF(ISBLANK(Table1[[#This Row],[Tipo de Servicio]]),"",Caratula!$D$16)</f>
        <v/>
      </c>
      <c r="F49" t="str">
        <f>_xlfn.XLOOKUP(Table1[[#This Row],[SelGZ]]&amp;Table1[[#This Row],[Tipo de Servicio]],CatPEP!A:A,CatPEP!C:C,"")</f>
        <v/>
      </c>
      <c r="G49" t="str">
        <f>_xlfn.XLOOKUP(Table1[[#This Row],[PEP]],CatPEP!C:C,CatPEP!D:D,"")</f>
        <v/>
      </c>
      <c r="O49" s="53">
        <f>SUMIF('Registro Refacciones'!B:B, I49, 'Registro Refacciones'!I:I)</f>
        <v>0</v>
      </c>
      <c r="P49" s="26">
        <f>Table1[[#This Row],[Costo Servicio]]+Table1[[#This Row],[Refacciones]]</f>
        <v>0</v>
      </c>
      <c r="Q49" s="26"/>
    </row>
    <row r="50" spans="1:17">
      <c r="A50" s="37" t="str">
        <f>IF(Table1[[#This Row],[Tipo de Servicio]]="","",Caratula!$D$15)</f>
        <v/>
      </c>
      <c r="B50" s="37" t="str">
        <f>IF(Table1[[#This Row],[Tipo de Servicio]]="","",Caratula!$D$16)</f>
        <v/>
      </c>
      <c r="C50" s="24" t="str">
        <f>IF(Table1[[#This Row],[Tipo de Servicio]]="","",Caratula!$D$17)</f>
        <v/>
      </c>
      <c r="D50" s="38" t="str">
        <f>IF(ISBLANK(Table1[[#This Row],[Tipo de Servicio]]),"",Caratula!$D$16)</f>
        <v/>
      </c>
      <c r="F50" t="str">
        <f>_xlfn.XLOOKUP(Table1[[#This Row],[SelGZ]]&amp;Table1[[#This Row],[Tipo de Servicio]],CatPEP!A:A,CatPEP!C:C,"")</f>
        <v/>
      </c>
      <c r="G50" t="str">
        <f>_xlfn.XLOOKUP(Table1[[#This Row],[PEP]],CatPEP!C:C,CatPEP!D:D,"")</f>
        <v/>
      </c>
      <c r="O50" s="53">
        <f>SUMIF('Registro Refacciones'!B:B, I50, 'Registro Refacciones'!I:I)</f>
        <v>0</v>
      </c>
      <c r="P50" s="26">
        <f>Table1[[#This Row],[Costo Servicio]]+Table1[[#This Row],[Refacciones]]</f>
        <v>0</v>
      </c>
      <c r="Q50" s="26"/>
    </row>
    <row r="51" spans="1:17">
      <c r="A51" s="37" t="str">
        <f>IF(Table1[[#This Row],[Tipo de Servicio]]="","",Caratula!$D$15)</f>
        <v/>
      </c>
      <c r="B51" s="37" t="str">
        <f>IF(Table1[[#This Row],[Tipo de Servicio]]="","",Caratula!$D$16)</f>
        <v/>
      </c>
      <c r="C51" s="24" t="str">
        <f>IF(Table1[[#This Row],[Tipo de Servicio]]="","",Caratula!$D$17)</f>
        <v/>
      </c>
      <c r="D51" s="38" t="str">
        <f>IF(ISBLANK(Table1[[#This Row],[Tipo de Servicio]]),"",Caratula!$D$16)</f>
        <v/>
      </c>
      <c r="F51" t="str">
        <f>_xlfn.XLOOKUP(Table1[[#This Row],[SelGZ]]&amp;Table1[[#This Row],[Tipo de Servicio]],CatPEP!A:A,CatPEP!C:C,"")</f>
        <v/>
      </c>
      <c r="G51" t="str">
        <f>_xlfn.XLOOKUP(Table1[[#This Row],[PEP]],CatPEP!C:C,CatPEP!D:D,"")</f>
        <v/>
      </c>
      <c r="O51" s="53">
        <f>SUMIF('Registro Refacciones'!B:B, I51, 'Registro Refacciones'!I:I)</f>
        <v>0</v>
      </c>
      <c r="P51" s="26">
        <f>Table1[[#This Row],[Costo Servicio]]+Table1[[#This Row],[Refacciones]]</f>
        <v>0</v>
      </c>
      <c r="Q51" s="26"/>
    </row>
    <row r="52" spans="1:17">
      <c r="A52" s="37" t="str">
        <f>IF(Table1[[#This Row],[Tipo de Servicio]]="","",Caratula!$D$15)</f>
        <v/>
      </c>
      <c r="B52" s="37" t="str">
        <f>IF(Table1[[#This Row],[Tipo de Servicio]]="","",Caratula!$D$16)</f>
        <v/>
      </c>
      <c r="C52" s="24" t="str">
        <f>IF(Table1[[#This Row],[Tipo de Servicio]]="","",Caratula!$D$17)</f>
        <v/>
      </c>
      <c r="D52" s="38" t="str">
        <f>IF(ISBLANK(Table1[[#This Row],[Tipo de Servicio]]),"",Caratula!$D$16)</f>
        <v/>
      </c>
      <c r="F52" t="str">
        <f>_xlfn.XLOOKUP(Table1[[#This Row],[SelGZ]]&amp;Table1[[#This Row],[Tipo de Servicio]],CatPEP!A:A,CatPEP!C:C,"")</f>
        <v/>
      </c>
      <c r="G52" t="str">
        <f>_xlfn.XLOOKUP(Table1[[#This Row],[PEP]],CatPEP!C:C,CatPEP!D:D,"")</f>
        <v/>
      </c>
      <c r="O52" s="53">
        <f>SUMIF('Registro Refacciones'!B:B, I52, 'Registro Refacciones'!I:I)</f>
        <v>0</v>
      </c>
      <c r="P52" s="26">
        <f>Table1[[#This Row],[Costo Servicio]]+Table1[[#This Row],[Refacciones]]</f>
        <v>0</v>
      </c>
      <c r="Q52" s="26"/>
    </row>
    <row r="53" spans="1:17">
      <c r="A53" s="37" t="str">
        <f>IF(Table1[[#This Row],[Tipo de Servicio]]="","",Caratula!$D$15)</f>
        <v/>
      </c>
      <c r="B53" s="37" t="str">
        <f>IF(Table1[[#This Row],[Tipo de Servicio]]="","",Caratula!$D$16)</f>
        <v/>
      </c>
      <c r="C53" s="24" t="str">
        <f>IF(Table1[[#This Row],[Tipo de Servicio]]="","",Caratula!$D$17)</f>
        <v/>
      </c>
      <c r="D53" s="38" t="str">
        <f>IF(ISBLANK(Table1[[#This Row],[Tipo de Servicio]]),"",Caratula!$D$16)</f>
        <v/>
      </c>
      <c r="F53" t="str">
        <f>_xlfn.XLOOKUP(Table1[[#This Row],[SelGZ]]&amp;Table1[[#This Row],[Tipo de Servicio]],CatPEP!A:A,CatPEP!C:C,"")</f>
        <v/>
      </c>
      <c r="G53" t="str">
        <f>_xlfn.XLOOKUP(Table1[[#This Row],[PEP]],CatPEP!C:C,CatPEP!D:D,"")</f>
        <v/>
      </c>
      <c r="O53" s="53">
        <f>SUMIF('Registro Refacciones'!B:B, I53, 'Registro Refacciones'!I:I)</f>
        <v>0</v>
      </c>
      <c r="P53" s="26">
        <f>Table1[[#This Row],[Costo Servicio]]+Table1[[#This Row],[Refacciones]]</f>
        <v>0</v>
      </c>
      <c r="Q53" s="26"/>
    </row>
    <row r="54" spans="1:17">
      <c r="A54" s="37" t="str">
        <f>IF(Table1[[#This Row],[Tipo de Servicio]]="","",Caratula!$D$15)</f>
        <v/>
      </c>
      <c r="B54" s="37" t="str">
        <f>IF(Table1[[#This Row],[Tipo de Servicio]]="","",Caratula!$D$16)</f>
        <v/>
      </c>
      <c r="C54" s="24" t="str">
        <f>IF(Table1[[#This Row],[Tipo de Servicio]]="","",Caratula!$D$17)</f>
        <v/>
      </c>
      <c r="D54" s="38" t="str">
        <f>IF(ISBLANK(Table1[[#This Row],[Tipo de Servicio]]),"",Caratula!$D$16)</f>
        <v/>
      </c>
      <c r="F54" t="str">
        <f>_xlfn.XLOOKUP(Table1[[#This Row],[SelGZ]]&amp;Table1[[#This Row],[Tipo de Servicio]],CatPEP!A:A,CatPEP!C:C,"")</f>
        <v/>
      </c>
      <c r="G54" t="str">
        <f>_xlfn.XLOOKUP(Table1[[#This Row],[PEP]],CatPEP!C:C,CatPEP!D:D,"")</f>
        <v/>
      </c>
      <c r="O54" s="53">
        <f>SUMIF('Registro Refacciones'!B:B, I54, 'Registro Refacciones'!I:I)</f>
        <v>0</v>
      </c>
      <c r="P54" s="26">
        <f>Table1[[#This Row],[Costo Servicio]]+Table1[[#This Row],[Refacciones]]</f>
        <v>0</v>
      </c>
      <c r="Q54" s="26"/>
    </row>
    <row r="55" spans="1:17">
      <c r="A55" s="37" t="str">
        <f>IF(Table1[[#This Row],[Tipo de Servicio]]="","",Caratula!$D$15)</f>
        <v/>
      </c>
      <c r="B55" s="37" t="str">
        <f>IF(Table1[[#This Row],[Tipo de Servicio]]="","",Caratula!$D$16)</f>
        <v/>
      </c>
      <c r="C55" s="24" t="str">
        <f>IF(Table1[[#This Row],[Tipo de Servicio]]="","",Caratula!$D$17)</f>
        <v/>
      </c>
      <c r="D55" s="38" t="str">
        <f>IF(ISBLANK(Table1[[#This Row],[Tipo de Servicio]]),"",Caratula!$D$16)</f>
        <v/>
      </c>
      <c r="F55" t="str">
        <f>_xlfn.XLOOKUP(Table1[[#This Row],[SelGZ]]&amp;Table1[[#This Row],[Tipo de Servicio]],CatPEP!A:A,CatPEP!C:C,"")</f>
        <v/>
      </c>
      <c r="G55" t="str">
        <f>_xlfn.XLOOKUP(Table1[[#This Row],[PEP]],CatPEP!C:C,CatPEP!D:D,"")</f>
        <v/>
      </c>
      <c r="O55" s="53">
        <f>SUMIF('Registro Refacciones'!B:B, I55, 'Registro Refacciones'!I:I)</f>
        <v>0</v>
      </c>
      <c r="P55" s="26">
        <f>Table1[[#This Row],[Costo Servicio]]+Table1[[#This Row],[Refacciones]]</f>
        <v>0</v>
      </c>
      <c r="Q55" s="26"/>
    </row>
    <row r="56" spans="1:17">
      <c r="A56" s="37" t="str">
        <f>IF(Table1[[#This Row],[Tipo de Servicio]]="","",Caratula!$D$15)</f>
        <v/>
      </c>
      <c r="B56" s="37" t="str">
        <f>IF(Table1[[#This Row],[Tipo de Servicio]]="","",Caratula!$D$16)</f>
        <v/>
      </c>
      <c r="C56" s="24" t="str">
        <f>IF(Table1[[#This Row],[Tipo de Servicio]]="","",Caratula!$D$17)</f>
        <v/>
      </c>
      <c r="D56" s="38" t="str">
        <f>IF(ISBLANK(Table1[[#This Row],[Tipo de Servicio]]),"",Caratula!$D$16)</f>
        <v/>
      </c>
      <c r="F56" t="str">
        <f>_xlfn.XLOOKUP(Table1[[#This Row],[SelGZ]]&amp;Table1[[#This Row],[Tipo de Servicio]],CatPEP!A:A,CatPEP!C:C,"")</f>
        <v/>
      </c>
      <c r="G56" t="str">
        <f>_xlfn.XLOOKUP(Table1[[#This Row],[PEP]],CatPEP!C:C,CatPEP!D:D,"")</f>
        <v/>
      </c>
      <c r="O56" s="53">
        <f>SUMIF('Registro Refacciones'!B:B, I56, 'Registro Refacciones'!I:I)</f>
        <v>0</v>
      </c>
      <c r="P56" s="26">
        <f>Table1[[#This Row],[Costo Servicio]]+Table1[[#This Row],[Refacciones]]</f>
        <v>0</v>
      </c>
      <c r="Q56" s="26"/>
    </row>
    <row r="57" spans="1:17">
      <c r="A57" s="37" t="str">
        <f>IF(Table1[[#This Row],[Tipo de Servicio]]="","",Caratula!$D$15)</f>
        <v/>
      </c>
      <c r="B57" s="37" t="str">
        <f>IF(Table1[[#This Row],[Tipo de Servicio]]="","",Caratula!$D$16)</f>
        <v/>
      </c>
      <c r="C57" s="24" t="str">
        <f>IF(Table1[[#This Row],[Tipo de Servicio]]="","",Caratula!$D$17)</f>
        <v/>
      </c>
      <c r="D57" s="38" t="str">
        <f>IF(ISBLANK(Table1[[#This Row],[Tipo de Servicio]]),"",Caratula!$D$16)</f>
        <v/>
      </c>
      <c r="F57" t="str">
        <f>_xlfn.XLOOKUP(Table1[[#This Row],[SelGZ]]&amp;Table1[[#This Row],[Tipo de Servicio]],CatPEP!A:A,CatPEP!C:C,"")</f>
        <v/>
      </c>
      <c r="G57" t="str">
        <f>_xlfn.XLOOKUP(Table1[[#This Row],[PEP]],CatPEP!C:C,CatPEP!D:D,"")</f>
        <v/>
      </c>
      <c r="O57" s="53">
        <f>SUMIF('Registro Refacciones'!B:B, I57, 'Registro Refacciones'!I:I)</f>
        <v>0</v>
      </c>
      <c r="P57" s="26">
        <f>Table1[[#This Row],[Costo Servicio]]+Table1[[#This Row],[Refacciones]]</f>
        <v>0</v>
      </c>
      <c r="Q57" s="26"/>
    </row>
    <row r="58" spans="1:17">
      <c r="A58" s="37" t="str">
        <f>IF(Table1[[#This Row],[Tipo de Servicio]]="","",Caratula!$D$15)</f>
        <v/>
      </c>
      <c r="B58" s="37" t="str">
        <f>IF(Table1[[#This Row],[Tipo de Servicio]]="","",Caratula!$D$16)</f>
        <v/>
      </c>
      <c r="C58" s="24" t="str">
        <f>IF(Table1[[#This Row],[Tipo de Servicio]]="","",Caratula!$D$17)</f>
        <v/>
      </c>
      <c r="D58" s="38" t="str">
        <f>IF(ISBLANK(Table1[[#This Row],[Tipo de Servicio]]),"",Caratula!$D$16)</f>
        <v/>
      </c>
      <c r="F58" t="str">
        <f>_xlfn.XLOOKUP(Table1[[#This Row],[SelGZ]]&amp;Table1[[#This Row],[Tipo de Servicio]],CatPEP!A:A,CatPEP!C:C,"")</f>
        <v/>
      </c>
      <c r="G58" t="str">
        <f>_xlfn.XLOOKUP(Table1[[#This Row],[PEP]],CatPEP!C:C,CatPEP!D:D,"")</f>
        <v/>
      </c>
      <c r="O58" s="53">
        <f>SUMIF('Registro Refacciones'!B:B, I58, 'Registro Refacciones'!I:I)</f>
        <v>0</v>
      </c>
      <c r="P58" s="26">
        <f>Table1[[#This Row],[Costo Servicio]]+Table1[[#This Row],[Refacciones]]</f>
        <v>0</v>
      </c>
      <c r="Q58" s="26"/>
    </row>
    <row r="59" spans="1:17">
      <c r="A59" s="37" t="str">
        <f>IF(Table1[[#This Row],[Tipo de Servicio]]="","",Caratula!$D$15)</f>
        <v/>
      </c>
      <c r="B59" s="37" t="str">
        <f>IF(Table1[[#This Row],[Tipo de Servicio]]="","",Caratula!$D$16)</f>
        <v/>
      </c>
      <c r="C59" s="24" t="str">
        <f>IF(Table1[[#This Row],[Tipo de Servicio]]="","",Caratula!$D$17)</f>
        <v/>
      </c>
      <c r="D59" s="38" t="str">
        <f>IF(ISBLANK(Table1[[#This Row],[Tipo de Servicio]]),"",Caratula!$D$16)</f>
        <v/>
      </c>
      <c r="F59" t="str">
        <f>_xlfn.XLOOKUP(Table1[[#This Row],[SelGZ]]&amp;Table1[[#This Row],[Tipo de Servicio]],CatPEP!A:A,CatPEP!C:C,"")</f>
        <v/>
      </c>
      <c r="G59" t="str">
        <f>_xlfn.XLOOKUP(Table1[[#This Row],[PEP]],CatPEP!C:C,CatPEP!D:D,"")</f>
        <v/>
      </c>
      <c r="O59" s="53">
        <f>SUMIF('Registro Refacciones'!B:B, I59, 'Registro Refacciones'!I:I)</f>
        <v>0</v>
      </c>
      <c r="P59" s="26">
        <f>Table1[[#This Row],[Costo Servicio]]+Table1[[#This Row],[Refacciones]]</f>
        <v>0</v>
      </c>
      <c r="Q59" s="26"/>
    </row>
    <row r="60" spans="1:17">
      <c r="A60" s="37" t="str">
        <f>IF(Table1[[#This Row],[Tipo de Servicio]]="","",Caratula!$D$15)</f>
        <v/>
      </c>
      <c r="B60" s="37" t="str">
        <f>IF(Table1[[#This Row],[Tipo de Servicio]]="","",Caratula!$D$16)</f>
        <v/>
      </c>
      <c r="C60" s="24" t="str">
        <f>IF(Table1[[#This Row],[Tipo de Servicio]]="","",Caratula!$D$17)</f>
        <v/>
      </c>
      <c r="D60" s="38" t="str">
        <f>IF(ISBLANK(Table1[[#This Row],[Tipo de Servicio]]),"",Caratula!$D$16)</f>
        <v/>
      </c>
      <c r="F60" t="str">
        <f>_xlfn.XLOOKUP(Table1[[#This Row],[SelGZ]]&amp;Table1[[#This Row],[Tipo de Servicio]],CatPEP!A:A,CatPEP!C:C,"")</f>
        <v/>
      </c>
      <c r="G60" t="str">
        <f>_xlfn.XLOOKUP(Table1[[#This Row],[PEP]],CatPEP!C:C,CatPEP!D:D,"")</f>
        <v/>
      </c>
      <c r="O60" s="53">
        <f>SUMIF('Registro Refacciones'!B:B, I60, 'Registro Refacciones'!I:I)</f>
        <v>0</v>
      </c>
      <c r="P60" s="26">
        <f>Table1[[#This Row],[Costo Servicio]]+Table1[[#This Row],[Refacciones]]</f>
        <v>0</v>
      </c>
      <c r="Q60" s="26"/>
    </row>
    <row r="61" spans="1:17">
      <c r="A61" s="37" t="str">
        <f>IF(Table1[[#This Row],[Tipo de Servicio]]="","",Caratula!$D$15)</f>
        <v/>
      </c>
      <c r="B61" s="37" t="str">
        <f>IF(Table1[[#This Row],[Tipo de Servicio]]="","",Caratula!$D$16)</f>
        <v/>
      </c>
      <c r="C61" s="24" t="str">
        <f>IF(Table1[[#This Row],[Tipo de Servicio]]="","",Caratula!$D$17)</f>
        <v/>
      </c>
      <c r="D61" s="38" t="str">
        <f>IF(ISBLANK(Table1[[#This Row],[Tipo de Servicio]]),"",Caratula!$D$16)</f>
        <v/>
      </c>
      <c r="F61" t="str">
        <f>_xlfn.XLOOKUP(Table1[[#This Row],[SelGZ]]&amp;Table1[[#This Row],[Tipo de Servicio]],CatPEP!A:A,CatPEP!C:C,"")</f>
        <v/>
      </c>
      <c r="G61" t="str">
        <f>_xlfn.XLOOKUP(Table1[[#This Row],[PEP]],CatPEP!C:C,CatPEP!D:D,"")</f>
        <v/>
      </c>
      <c r="O61" s="53">
        <f>SUMIF('Registro Refacciones'!B:B, I61, 'Registro Refacciones'!I:I)</f>
        <v>0</v>
      </c>
      <c r="P61" s="26">
        <f>Table1[[#This Row],[Costo Servicio]]+Table1[[#This Row],[Refacciones]]</f>
        <v>0</v>
      </c>
      <c r="Q61" s="26"/>
    </row>
    <row r="62" spans="1:17">
      <c r="A62" s="37" t="str">
        <f>IF(Table1[[#This Row],[Tipo de Servicio]]="","",Caratula!$D$15)</f>
        <v/>
      </c>
      <c r="B62" s="37" t="str">
        <f>IF(Table1[[#This Row],[Tipo de Servicio]]="","",Caratula!$D$16)</f>
        <v/>
      </c>
      <c r="C62" s="24" t="str">
        <f>IF(Table1[[#This Row],[Tipo de Servicio]]="","",Caratula!$D$17)</f>
        <v/>
      </c>
      <c r="D62" s="38" t="str">
        <f>IF(ISBLANK(Table1[[#This Row],[Tipo de Servicio]]),"",Caratula!$D$16)</f>
        <v/>
      </c>
      <c r="F62" t="str">
        <f>_xlfn.XLOOKUP(Table1[[#This Row],[SelGZ]]&amp;Table1[[#This Row],[Tipo de Servicio]],CatPEP!A:A,CatPEP!C:C,"")</f>
        <v/>
      </c>
      <c r="G62" t="str">
        <f>_xlfn.XLOOKUP(Table1[[#This Row],[PEP]],CatPEP!C:C,CatPEP!D:D,"")</f>
        <v/>
      </c>
      <c r="O62" s="53">
        <f>SUMIF('Registro Refacciones'!B:B, I62, 'Registro Refacciones'!I:I)</f>
        <v>0</v>
      </c>
      <c r="P62" s="26">
        <f>Table1[[#This Row],[Costo Servicio]]+Table1[[#This Row],[Refacciones]]</f>
        <v>0</v>
      </c>
      <c r="Q62" s="26"/>
    </row>
    <row r="63" spans="1:17">
      <c r="A63" s="37" t="str">
        <f>IF(Table1[[#This Row],[Tipo de Servicio]]="","",Caratula!$D$15)</f>
        <v/>
      </c>
      <c r="B63" s="37" t="str">
        <f>IF(Table1[[#This Row],[Tipo de Servicio]]="","",Caratula!$D$16)</f>
        <v/>
      </c>
      <c r="C63" s="24" t="str">
        <f>IF(Table1[[#This Row],[Tipo de Servicio]]="","",Caratula!$D$17)</f>
        <v/>
      </c>
      <c r="D63" s="38" t="str">
        <f>IF(ISBLANK(Table1[[#This Row],[Tipo de Servicio]]),"",Caratula!$D$16)</f>
        <v/>
      </c>
      <c r="F63" t="str">
        <f>_xlfn.XLOOKUP(Table1[[#This Row],[SelGZ]]&amp;Table1[[#This Row],[Tipo de Servicio]],CatPEP!A:A,CatPEP!C:C,"")</f>
        <v/>
      </c>
      <c r="G63" t="str">
        <f>_xlfn.XLOOKUP(Table1[[#This Row],[PEP]],CatPEP!C:C,CatPEP!D:D,"")</f>
        <v/>
      </c>
      <c r="O63" s="53">
        <f>SUMIF('Registro Refacciones'!B:B, I63, 'Registro Refacciones'!I:I)</f>
        <v>0</v>
      </c>
      <c r="P63" s="26">
        <f>Table1[[#This Row],[Costo Servicio]]+Table1[[#This Row],[Refacciones]]</f>
        <v>0</v>
      </c>
      <c r="Q63" s="26"/>
    </row>
    <row r="64" spans="1:17">
      <c r="A64" s="37" t="str">
        <f>IF(Table1[[#This Row],[Tipo de Servicio]]="","",Caratula!$D$15)</f>
        <v/>
      </c>
      <c r="B64" s="37" t="str">
        <f>IF(Table1[[#This Row],[Tipo de Servicio]]="","",Caratula!$D$16)</f>
        <v/>
      </c>
      <c r="C64" s="24" t="str">
        <f>IF(Table1[[#This Row],[Tipo de Servicio]]="","",Caratula!$D$17)</f>
        <v/>
      </c>
      <c r="D64" s="38" t="str">
        <f>IF(ISBLANK(Table1[[#This Row],[Tipo de Servicio]]),"",Caratula!$D$16)</f>
        <v/>
      </c>
      <c r="F64" t="str">
        <f>_xlfn.XLOOKUP(Table1[[#This Row],[SelGZ]]&amp;Table1[[#This Row],[Tipo de Servicio]],CatPEP!A:A,CatPEP!C:C,"")</f>
        <v/>
      </c>
      <c r="G64" t="str">
        <f>_xlfn.XLOOKUP(Table1[[#This Row],[PEP]],CatPEP!C:C,CatPEP!D:D,"")</f>
        <v/>
      </c>
      <c r="O64" s="53">
        <f>SUMIF('Registro Refacciones'!B:B, I64, 'Registro Refacciones'!I:I)</f>
        <v>0</v>
      </c>
      <c r="P64" s="26">
        <f>Table1[[#This Row],[Costo Servicio]]+Table1[[#This Row],[Refacciones]]</f>
        <v>0</v>
      </c>
      <c r="Q64" s="26"/>
    </row>
    <row r="65" spans="1:17">
      <c r="A65" s="37" t="str">
        <f>IF(Table1[[#This Row],[Tipo de Servicio]]="","",Caratula!$D$15)</f>
        <v/>
      </c>
      <c r="B65" s="37" t="str">
        <f>IF(Table1[[#This Row],[Tipo de Servicio]]="","",Caratula!$D$16)</f>
        <v/>
      </c>
      <c r="C65" s="24" t="str">
        <f>IF(Table1[[#This Row],[Tipo de Servicio]]="","",Caratula!$D$17)</f>
        <v/>
      </c>
      <c r="D65" s="38" t="str">
        <f>IF(ISBLANK(Table1[[#This Row],[Tipo de Servicio]]),"",Caratula!$D$16)</f>
        <v/>
      </c>
      <c r="F65" t="str">
        <f>_xlfn.XLOOKUP(Table1[[#This Row],[SelGZ]]&amp;Table1[[#This Row],[Tipo de Servicio]],CatPEP!A:A,CatPEP!C:C,"")</f>
        <v/>
      </c>
      <c r="G65" t="str">
        <f>_xlfn.XLOOKUP(Table1[[#This Row],[PEP]],CatPEP!C:C,CatPEP!D:D,"")</f>
        <v/>
      </c>
      <c r="O65" s="53">
        <f>SUMIF('Registro Refacciones'!B:B, I65, 'Registro Refacciones'!I:I)</f>
        <v>0</v>
      </c>
      <c r="P65" s="26">
        <f>Table1[[#This Row],[Costo Servicio]]+Table1[[#This Row],[Refacciones]]</f>
        <v>0</v>
      </c>
      <c r="Q65" s="26"/>
    </row>
    <row r="66" spans="1:17">
      <c r="A66" s="37" t="str">
        <f>IF(Table1[[#This Row],[Tipo de Servicio]]="","",Caratula!$D$15)</f>
        <v/>
      </c>
      <c r="B66" s="37" t="str">
        <f>IF(Table1[[#This Row],[Tipo de Servicio]]="","",Caratula!$D$16)</f>
        <v/>
      </c>
      <c r="C66" s="24" t="str">
        <f>IF(Table1[[#This Row],[Tipo de Servicio]]="","",Caratula!$D$17)</f>
        <v/>
      </c>
      <c r="D66" s="38" t="str">
        <f>IF(ISBLANK(Table1[[#This Row],[Tipo de Servicio]]),"",Caratula!$D$16)</f>
        <v/>
      </c>
      <c r="F66" t="str">
        <f>_xlfn.XLOOKUP(Table1[[#This Row],[SelGZ]]&amp;Table1[[#This Row],[Tipo de Servicio]],CatPEP!A:A,CatPEP!C:C,"")</f>
        <v/>
      </c>
      <c r="G66" t="str">
        <f>_xlfn.XLOOKUP(Table1[[#This Row],[PEP]],CatPEP!C:C,CatPEP!D:D,"")</f>
        <v/>
      </c>
      <c r="O66" s="53">
        <f>SUMIF('Registro Refacciones'!B:B, I66, 'Registro Refacciones'!I:I)</f>
        <v>0</v>
      </c>
      <c r="P66" s="26">
        <f>Table1[[#This Row],[Costo Servicio]]+Table1[[#This Row],[Refacciones]]</f>
        <v>0</v>
      </c>
      <c r="Q66" s="26"/>
    </row>
    <row r="67" spans="1:17">
      <c r="A67" s="37" t="str">
        <f>IF(Table1[[#This Row],[Tipo de Servicio]]="","",Caratula!$D$15)</f>
        <v/>
      </c>
      <c r="B67" s="37" t="str">
        <f>IF(Table1[[#This Row],[Tipo de Servicio]]="","",Caratula!$D$16)</f>
        <v/>
      </c>
      <c r="C67" s="24" t="str">
        <f>IF(Table1[[#This Row],[Tipo de Servicio]]="","",Caratula!$D$17)</f>
        <v/>
      </c>
      <c r="D67" s="38" t="str">
        <f>IF(ISBLANK(Table1[[#This Row],[Tipo de Servicio]]),"",Caratula!$D$16)</f>
        <v/>
      </c>
      <c r="F67" t="str">
        <f>_xlfn.XLOOKUP(Table1[[#This Row],[SelGZ]]&amp;Table1[[#This Row],[Tipo de Servicio]],CatPEP!A:A,CatPEP!C:C,"")</f>
        <v/>
      </c>
      <c r="G67" t="str">
        <f>_xlfn.XLOOKUP(Table1[[#This Row],[PEP]],CatPEP!C:C,CatPEP!D:D,"")</f>
        <v/>
      </c>
      <c r="O67" s="53">
        <f>SUMIF('Registro Refacciones'!B:B, I67, 'Registro Refacciones'!I:I)</f>
        <v>0</v>
      </c>
      <c r="P67" s="26">
        <f>Table1[[#This Row],[Costo Servicio]]+Table1[[#This Row],[Refacciones]]</f>
        <v>0</v>
      </c>
      <c r="Q67" s="26"/>
    </row>
    <row r="68" spans="1:17">
      <c r="A68" s="37" t="str">
        <f>IF(Table1[[#This Row],[Tipo de Servicio]]="","",Caratula!$D$15)</f>
        <v/>
      </c>
      <c r="B68" s="37" t="str">
        <f>IF(Table1[[#This Row],[Tipo de Servicio]]="","",Caratula!$D$16)</f>
        <v/>
      </c>
      <c r="C68" s="24" t="str">
        <f>IF(Table1[[#This Row],[Tipo de Servicio]]="","",Caratula!$D$17)</f>
        <v/>
      </c>
      <c r="D68" s="38" t="str">
        <f>IF(ISBLANK(Table1[[#This Row],[Tipo de Servicio]]),"",Caratula!$D$16)</f>
        <v/>
      </c>
      <c r="F68" t="str">
        <f>_xlfn.XLOOKUP(Table1[[#This Row],[SelGZ]]&amp;Table1[[#This Row],[Tipo de Servicio]],CatPEP!A:A,CatPEP!C:C,"")</f>
        <v/>
      </c>
      <c r="G68" t="str">
        <f>_xlfn.XLOOKUP(Table1[[#This Row],[PEP]],CatPEP!C:C,CatPEP!D:D,"")</f>
        <v/>
      </c>
      <c r="O68" s="53">
        <f>SUMIF('Registro Refacciones'!B:B, I68, 'Registro Refacciones'!I:I)</f>
        <v>0</v>
      </c>
      <c r="P68" s="26">
        <f>Table1[[#This Row],[Costo Servicio]]+Table1[[#This Row],[Refacciones]]</f>
        <v>0</v>
      </c>
      <c r="Q68" s="26"/>
    </row>
    <row r="69" spans="1:17">
      <c r="A69" s="37" t="str">
        <f>IF(Table1[[#This Row],[Tipo de Servicio]]="","",Caratula!$D$15)</f>
        <v/>
      </c>
      <c r="B69" s="37" t="str">
        <f>IF(Table1[[#This Row],[Tipo de Servicio]]="","",Caratula!$D$16)</f>
        <v/>
      </c>
      <c r="C69" s="24" t="str">
        <f>IF(Table1[[#This Row],[Tipo de Servicio]]="","",Caratula!$D$17)</f>
        <v/>
      </c>
      <c r="D69" s="38" t="str">
        <f>IF(ISBLANK(Table1[[#This Row],[Tipo de Servicio]]),"",Caratula!$D$16)</f>
        <v/>
      </c>
      <c r="F69" t="str">
        <f>_xlfn.XLOOKUP(Table1[[#This Row],[SelGZ]]&amp;Table1[[#This Row],[Tipo de Servicio]],CatPEP!A:A,CatPEP!C:C,"")</f>
        <v/>
      </c>
      <c r="G69" t="str">
        <f>_xlfn.XLOOKUP(Table1[[#This Row],[PEP]],CatPEP!C:C,CatPEP!D:D,"")</f>
        <v/>
      </c>
      <c r="O69" s="53">
        <f>SUMIF('Registro Refacciones'!B:B, I69, 'Registro Refacciones'!I:I)</f>
        <v>0</v>
      </c>
      <c r="P69" s="26">
        <f>Table1[[#This Row],[Costo Servicio]]+Table1[[#This Row],[Refacciones]]</f>
        <v>0</v>
      </c>
      <c r="Q69" s="26"/>
    </row>
    <row r="70" spans="1:17">
      <c r="A70" s="37" t="str">
        <f>IF(Table1[[#This Row],[Tipo de Servicio]]="","",Caratula!$D$15)</f>
        <v/>
      </c>
      <c r="B70" s="37" t="str">
        <f>IF(Table1[[#This Row],[Tipo de Servicio]]="","",Caratula!$D$16)</f>
        <v/>
      </c>
      <c r="C70" s="24" t="str">
        <f>IF(Table1[[#This Row],[Tipo de Servicio]]="","",Caratula!$D$17)</f>
        <v/>
      </c>
      <c r="D70" s="38" t="str">
        <f>IF(ISBLANK(Table1[[#This Row],[Tipo de Servicio]]),"",Caratula!$D$16)</f>
        <v/>
      </c>
      <c r="F70" t="str">
        <f>_xlfn.XLOOKUP(Table1[[#This Row],[SelGZ]]&amp;Table1[[#This Row],[Tipo de Servicio]],CatPEP!A:A,CatPEP!C:C,"")</f>
        <v/>
      </c>
      <c r="G70" t="str">
        <f>_xlfn.XLOOKUP(Table1[[#This Row],[PEP]],CatPEP!C:C,CatPEP!D:D,"")</f>
        <v/>
      </c>
      <c r="O70" s="53">
        <f>SUMIF('Registro Refacciones'!B:B, I70, 'Registro Refacciones'!I:I)</f>
        <v>0</v>
      </c>
      <c r="P70" s="26">
        <f>Table1[[#This Row],[Costo Servicio]]+Table1[[#This Row],[Refacciones]]</f>
        <v>0</v>
      </c>
      <c r="Q70" s="26"/>
    </row>
    <row r="71" spans="1:17">
      <c r="A71" s="37" t="str">
        <f>IF(Table1[[#This Row],[Tipo de Servicio]]="","",Caratula!$D$15)</f>
        <v/>
      </c>
      <c r="B71" s="37" t="str">
        <f>IF(Table1[[#This Row],[Tipo de Servicio]]="","",Caratula!$D$16)</f>
        <v/>
      </c>
      <c r="C71" s="24" t="str">
        <f>IF(Table1[[#This Row],[Tipo de Servicio]]="","",Caratula!$D$17)</f>
        <v/>
      </c>
      <c r="D71" s="38" t="str">
        <f>IF(ISBLANK(Table1[[#This Row],[Tipo de Servicio]]),"",Caratula!$D$16)</f>
        <v/>
      </c>
      <c r="F71" t="str">
        <f>_xlfn.XLOOKUP(Table1[[#This Row],[SelGZ]]&amp;Table1[[#This Row],[Tipo de Servicio]],CatPEP!A:A,CatPEP!C:C,"")</f>
        <v/>
      </c>
      <c r="G71" t="str">
        <f>_xlfn.XLOOKUP(Table1[[#This Row],[PEP]],CatPEP!C:C,CatPEP!D:D,"")</f>
        <v/>
      </c>
      <c r="O71" s="53">
        <f>SUMIF('Registro Refacciones'!B:B, I71, 'Registro Refacciones'!I:I)</f>
        <v>0</v>
      </c>
      <c r="P71" s="26">
        <f>Table1[[#This Row],[Costo Servicio]]+Table1[[#This Row],[Refacciones]]</f>
        <v>0</v>
      </c>
      <c r="Q71" s="26"/>
    </row>
    <row r="72" spans="1:17">
      <c r="A72" s="37" t="str">
        <f>IF(Table1[[#This Row],[Tipo de Servicio]]="","",Caratula!$D$15)</f>
        <v/>
      </c>
      <c r="B72" s="37" t="str">
        <f>IF(Table1[[#This Row],[Tipo de Servicio]]="","",Caratula!$D$16)</f>
        <v/>
      </c>
      <c r="C72" s="24" t="str">
        <f>IF(Table1[[#This Row],[Tipo de Servicio]]="","",Caratula!$D$17)</f>
        <v/>
      </c>
      <c r="D72" s="38" t="str">
        <f>IF(ISBLANK(Table1[[#This Row],[Tipo de Servicio]]),"",Caratula!$D$16)</f>
        <v/>
      </c>
      <c r="F72" t="str">
        <f>_xlfn.XLOOKUP(Table1[[#This Row],[SelGZ]]&amp;Table1[[#This Row],[Tipo de Servicio]],CatPEP!A:A,CatPEP!C:C,"")</f>
        <v/>
      </c>
      <c r="G72" t="str">
        <f>_xlfn.XLOOKUP(Table1[[#This Row],[PEP]],CatPEP!C:C,CatPEP!D:D,"")</f>
        <v/>
      </c>
      <c r="O72" s="53">
        <f>SUMIF('Registro Refacciones'!B:B, I72, 'Registro Refacciones'!I:I)</f>
        <v>0</v>
      </c>
      <c r="P72" s="26">
        <f>Table1[[#This Row],[Costo Servicio]]+Table1[[#This Row],[Refacciones]]</f>
        <v>0</v>
      </c>
      <c r="Q72" s="26"/>
    </row>
    <row r="73" spans="1:17">
      <c r="A73" s="37" t="str">
        <f>IF(Table1[[#This Row],[Tipo de Servicio]]="","",Caratula!$D$15)</f>
        <v/>
      </c>
      <c r="B73" s="37" t="str">
        <f>IF(Table1[[#This Row],[Tipo de Servicio]]="","",Caratula!$D$16)</f>
        <v/>
      </c>
      <c r="C73" s="24" t="str">
        <f>IF(Table1[[#This Row],[Tipo de Servicio]]="","",Caratula!$D$17)</f>
        <v/>
      </c>
      <c r="D73" s="38" t="str">
        <f>IF(ISBLANK(Table1[[#This Row],[Tipo de Servicio]]),"",Caratula!$D$16)</f>
        <v/>
      </c>
      <c r="F73" t="str">
        <f>_xlfn.XLOOKUP(Table1[[#This Row],[SelGZ]]&amp;Table1[[#This Row],[Tipo de Servicio]],CatPEP!A:A,CatPEP!C:C,"")</f>
        <v/>
      </c>
      <c r="G73" t="str">
        <f>_xlfn.XLOOKUP(Table1[[#This Row],[PEP]],CatPEP!C:C,CatPEP!D:D,"")</f>
        <v/>
      </c>
      <c r="O73" s="53">
        <f>SUMIF('Registro Refacciones'!B:B, I73, 'Registro Refacciones'!I:I)</f>
        <v>0</v>
      </c>
      <c r="P73" s="26">
        <f>Table1[[#This Row],[Costo Servicio]]+Table1[[#This Row],[Refacciones]]</f>
        <v>0</v>
      </c>
      <c r="Q73" s="26"/>
    </row>
    <row r="74" spans="1:17">
      <c r="A74" s="37" t="str">
        <f>IF(Table1[[#This Row],[Tipo de Servicio]]="","",Caratula!$D$15)</f>
        <v/>
      </c>
      <c r="B74" s="37" t="str">
        <f>IF(Table1[[#This Row],[Tipo de Servicio]]="","",Caratula!$D$16)</f>
        <v/>
      </c>
      <c r="C74" s="24" t="str">
        <f>IF(Table1[[#This Row],[Tipo de Servicio]]="","",Caratula!$D$17)</f>
        <v/>
      </c>
      <c r="D74" s="38" t="str">
        <f>IF(ISBLANK(Table1[[#This Row],[Tipo de Servicio]]),"",Caratula!$D$16)</f>
        <v/>
      </c>
      <c r="F74" t="str">
        <f>_xlfn.XLOOKUP(Table1[[#This Row],[SelGZ]]&amp;Table1[[#This Row],[Tipo de Servicio]],CatPEP!A:A,CatPEP!C:C,"")</f>
        <v/>
      </c>
      <c r="G74" t="str">
        <f>_xlfn.XLOOKUP(Table1[[#This Row],[PEP]],CatPEP!C:C,CatPEP!D:D,"")</f>
        <v/>
      </c>
      <c r="O74" s="53">
        <f>SUMIF('Registro Refacciones'!B:B, I74, 'Registro Refacciones'!I:I)</f>
        <v>0</v>
      </c>
      <c r="P74" s="26">
        <f>Table1[[#This Row],[Costo Servicio]]+Table1[[#This Row],[Refacciones]]</f>
        <v>0</v>
      </c>
      <c r="Q74" s="26"/>
    </row>
    <row r="75" spans="1:17">
      <c r="A75" s="37" t="str">
        <f>IF(Table1[[#This Row],[Tipo de Servicio]]="","",Caratula!$D$15)</f>
        <v/>
      </c>
      <c r="B75" s="37" t="str">
        <f>IF(Table1[[#This Row],[Tipo de Servicio]]="","",Caratula!$D$16)</f>
        <v/>
      </c>
      <c r="C75" s="24" t="str">
        <f>IF(Table1[[#This Row],[Tipo de Servicio]]="","",Caratula!$D$17)</f>
        <v/>
      </c>
      <c r="D75" s="38" t="str">
        <f>IF(ISBLANK(Table1[[#This Row],[Tipo de Servicio]]),"",Caratula!$D$16)</f>
        <v/>
      </c>
      <c r="F75" t="str">
        <f>_xlfn.XLOOKUP(Table1[[#This Row],[SelGZ]]&amp;Table1[[#This Row],[Tipo de Servicio]],CatPEP!A:A,CatPEP!C:C,"")</f>
        <v/>
      </c>
      <c r="G75" t="str">
        <f>_xlfn.XLOOKUP(Table1[[#This Row],[PEP]],CatPEP!C:C,CatPEP!D:D,"")</f>
        <v/>
      </c>
      <c r="O75" s="53">
        <f>SUMIF('Registro Refacciones'!B:B, I75, 'Registro Refacciones'!I:I)</f>
        <v>0</v>
      </c>
      <c r="P75" s="26">
        <f>Table1[[#This Row],[Costo Servicio]]+Table1[[#This Row],[Refacciones]]</f>
        <v>0</v>
      </c>
      <c r="Q75" s="26"/>
    </row>
    <row r="76" spans="1:17">
      <c r="A76" s="37" t="str">
        <f>IF(Table1[[#This Row],[Tipo de Servicio]]="","",Caratula!$D$15)</f>
        <v/>
      </c>
      <c r="B76" s="37" t="str">
        <f>IF(Table1[[#This Row],[Tipo de Servicio]]="","",Caratula!$D$16)</f>
        <v/>
      </c>
      <c r="C76" s="24" t="str">
        <f>IF(Table1[[#This Row],[Tipo de Servicio]]="","",Caratula!$D$17)</f>
        <v/>
      </c>
      <c r="D76" s="38" t="str">
        <f>IF(ISBLANK(Table1[[#This Row],[Tipo de Servicio]]),"",Caratula!$D$16)</f>
        <v/>
      </c>
      <c r="F76" t="str">
        <f>_xlfn.XLOOKUP(Table1[[#This Row],[SelGZ]]&amp;Table1[[#This Row],[Tipo de Servicio]],CatPEP!A:A,CatPEP!C:C,"")</f>
        <v/>
      </c>
      <c r="G76" t="str">
        <f>_xlfn.XLOOKUP(Table1[[#This Row],[PEP]],CatPEP!C:C,CatPEP!D:D,"")</f>
        <v/>
      </c>
      <c r="O76" s="53">
        <f>SUMIF('Registro Refacciones'!B:B, I76, 'Registro Refacciones'!I:I)</f>
        <v>0</v>
      </c>
      <c r="P76" s="26">
        <f>Table1[[#This Row],[Costo Servicio]]+Table1[[#This Row],[Refacciones]]</f>
        <v>0</v>
      </c>
      <c r="Q76" s="26"/>
    </row>
    <row r="77" spans="1:17">
      <c r="A77" s="37" t="str">
        <f>IF(Table1[[#This Row],[Tipo de Servicio]]="","",Caratula!$D$15)</f>
        <v/>
      </c>
      <c r="B77" s="37" t="str">
        <f>IF(Table1[[#This Row],[Tipo de Servicio]]="","",Caratula!$D$16)</f>
        <v/>
      </c>
      <c r="C77" s="24" t="str">
        <f>IF(Table1[[#This Row],[Tipo de Servicio]]="","",Caratula!$D$17)</f>
        <v/>
      </c>
      <c r="D77" s="38" t="str">
        <f>IF(ISBLANK(Table1[[#This Row],[Tipo de Servicio]]),"",Caratula!$D$16)</f>
        <v/>
      </c>
      <c r="F77" t="str">
        <f>_xlfn.XLOOKUP(Table1[[#This Row],[SelGZ]]&amp;Table1[[#This Row],[Tipo de Servicio]],CatPEP!A:A,CatPEP!C:C,"")</f>
        <v/>
      </c>
      <c r="G77" t="str">
        <f>_xlfn.XLOOKUP(Table1[[#This Row],[PEP]],CatPEP!C:C,CatPEP!D:D,"")</f>
        <v/>
      </c>
      <c r="O77" s="53">
        <f>SUMIF('Registro Refacciones'!B:B, I77, 'Registro Refacciones'!I:I)</f>
        <v>0</v>
      </c>
      <c r="P77" s="26">
        <f>Table1[[#This Row],[Costo Servicio]]+Table1[[#This Row],[Refacciones]]</f>
        <v>0</v>
      </c>
      <c r="Q77" s="26"/>
    </row>
    <row r="78" spans="1:17">
      <c r="A78" s="37" t="str">
        <f>IF(Table1[[#This Row],[Tipo de Servicio]]="","",Caratula!$D$15)</f>
        <v/>
      </c>
      <c r="B78" s="37" t="str">
        <f>IF(Table1[[#This Row],[Tipo de Servicio]]="","",Caratula!$D$16)</f>
        <v/>
      </c>
      <c r="C78" s="24" t="str">
        <f>IF(Table1[[#This Row],[Tipo de Servicio]]="","",Caratula!$D$17)</f>
        <v/>
      </c>
      <c r="D78" s="38" t="str">
        <f>IF(ISBLANK(Table1[[#This Row],[Tipo de Servicio]]),"",Caratula!$D$16)</f>
        <v/>
      </c>
      <c r="F78" t="str">
        <f>_xlfn.XLOOKUP(Table1[[#This Row],[SelGZ]]&amp;Table1[[#This Row],[Tipo de Servicio]],CatPEP!A:A,CatPEP!C:C,"")</f>
        <v/>
      </c>
      <c r="G78" t="str">
        <f>_xlfn.XLOOKUP(Table1[[#This Row],[PEP]],CatPEP!C:C,CatPEP!D:D,"")</f>
        <v/>
      </c>
      <c r="O78" s="53">
        <f>SUMIF('Registro Refacciones'!B:B, I78, 'Registro Refacciones'!I:I)</f>
        <v>0</v>
      </c>
      <c r="P78" s="26">
        <f>Table1[[#This Row],[Costo Servicio]]+Table1[[#This Row],[Refacciones]]</f>
        <v>0</v>
      </c>
      <c r="Q78" s="26"/>
    </row>
    <row r="79" spans="1:17">
      <c r="A79" s="37" t="str">
        <f>IF(Table1[[#This Row],[Tipo de Servicio]]="","",Caratula!$D$15)</f>
        <v/>
      </c>
      <c r="B79" s="37" t="str">
        <f>IF(Table1[[#This Row],[Tipo de Servicio]]="","",Caratula!$D$16)</f>
        <v/>
      </c>
      <c r="C79" s="24" t="str">
        <f>IF(Table1[[#This Row],[Tipo de Servicio]]="","",Caratula!$D$17)</f>
        <v/>
      </c>
      <c r="D79" s="38" t="str">
        <f>IF(ISBLANK(Table1[[#This Row],[Tipo de Servicio]]),"",Caratula!$D$16)</f>
        <v/>
      </c>
      <c r="F79" t="str">
        <f>_xlfn.XLOOKUP(Table1[[#This Row],[SelGZ]]&amp;Table1[[#This Row],[Tipo de Servicio]],CatPEP!A:A,CatPEP!C:C,"")</f>
        <v/>
      </c>
      <c r="G79" t="str">
        <f>_xlfn.XLOOKUP(Table1[[#This Row],[PEP]],CatPEP!C:C,CatPEP!D:D,"")</f>
        <v/>
      </c>
      <c r="O79" s="53">
        <f>SUMIF('Registro Refacciones'!B:B, I79, 'Registro Refacciones'!I:I)</f>
        <v>0</v>
      </c>
      <c r="P79" s="26">
        <f>Table1[[#This Row],[Costo Servicio]]+Table1[[#This Row],[Refacciones]]</f>
        <v>0</v>
      </c>
      <c r="Q79" s="26"/>
    </row>
    <row r="80" spans="1:17">
      <c r="A80" s="37" t="str">
        <f>IF(Table1[[#This Row],[Tipo de Servicio]]="","",Caratula!$D$15)</f>
        <v/>
      </c>
      <c r="B80" s="37" t="str">
        <f>IF(Table1[[#This Row],[Tipo de Servicio]]="","",Caratula!$D$16)</f>
        <v/>
      </c>
      <c r="C80" s="24" t="str">
        <f>IF(Table1[[#This Row],[Tipo de Servicio]]="","",Caratula!$D$17)</f>
        <v/>
      </c>
      <c r="D80" s="38" t="str">
        <f>IF(ISBLANK(Table1[[#This Row],[Tipo de Servicio]]),"",Caratula!$D$16)</f>
        <v/>
      </c>
      <c r="F80" t="str">
        <f>_xlfn.XLOOKUP(Table1[[#This Row],[SelGZ]]&amp;Table1[[#This Row],[Tipo de Servicio]],CatPEP!A:A,CatPEP!C:C,"")</f>
        <v/>
      </c>
      <c r="G80" t="str">
        <f>_xlfn.XLOOKUP(Table1[[#This Row],[PEP]],CatPEP!C:C,CatPEP!D:D,"")</f>
        <v/>
      </c>
      <c r="O80" s="53">
        <f>SUMIF('Registro Refacciones'!B:B, I80, 'Registro Refacciones'!I:I)</f>
        <v>0</v>
      </c>
      <c r="P80" s="26">
        <f>Table1[[#This Row],[Costo Servicio]]+Table1[[#This Row],[Refacciones]]</f>
        <v>0</v>
      </c>
      <c r="Q80" s="26"/>
    </row>
    <row r="81" spans="1:17">
      <c r="A81" s="37" t="str">
        <f>IF(Table1[[#This Row],[Tipo de Servicio]]="","",Caratula!$D$15)</f>
        <v/>
      </c>
      <c r="B81" s="37" t="str">
        <f>IF(Table1[[#This Row],[Tipo de Servicio]]="","",Caratula!$D$16)</f>
        <v/>
      </c>
      <c r="C81" s="24" t="str">
        <f>IF(Table1[[#This Row],[Tipo de Servicio]]="","",Caratula!$D$17)</f>
        <v/>
      </c>
      <c r="D81" s="38" t="str">
        <f>IF(ISBLANK(Table1[[#This Row],[Tipo de Servicio]]),"",Caratula!$D$16)</f>
        <v/>
      </c>
      <c r="F81" t="str">
        <f>_xlfn.XLOOKUP(Table1[[#This Row],[SelGZ]]&amp;Table1[[#This Row],[Tipo de Servicio]],CatPEP!A:A,CatPEP!C:C,"")</f>
        <v/>
      </c>
      <c r="G81" t="str">
        <f>_xlfn.XLOOKUP(Table1[[#This Row],[PEP]],CatPEP!C:C,CatPEP!D:D,"")</f>
        <v/>
      </c>
      <c r="O81" s="53">
        <f>SUMIF('Registro Refacciones'!B:B, I81, 'Registro Refacciones'!I:I)</f>
        <v>0</v>
      </c>
      <c r="P81" s="26">
        <f>Table1[[#This Row],[Costo Servicio]]+Table1[[#This Row],[Refacciones]]</f>
        <v>0</v>
      </c>
      <c r="Q81" s="26"/>
    </row>
    <row r="82" spans="1:17">
      <c r="A82" s="37" t="str">
        <f>IF(Table1[[#This Row],[Tipo de Servicio]]="","",Caratula!$D$15)</f>
        <v/>
      </c>
      <c r="B82" s="37" t="str">
        <f>IF(Table1[[#This Row],[Tipo de Servicio]]="","",Caratula!$D$16)</f>
        <v/>
      </c>
      <c r="C82" s="24" t="str">
        <f>IF(Table1[[#This Row],[Tipo de Servicio]]="","",Caratula!$D$17)</f>
        <v/>
      </c>
      <c r="D82" s="38" t="str">
        <f>IF(ISBLANK(Table1[[#This Row],[Tipo de Servicio]]),"",Caratula!$D$16)</f>
        <v/>
      </c>
      <c r="F82" t="str">
        <f>_xlfn.XLOOKUP(Table1[[#This Row],[SelGZ]]&amp;Table1[[#This Row],[Tipo de Servicio]],CatPEP!A:A,CatPEP!C:C,"")</f>
        <v/>
      </c>
      <c r="G82" t="str">
        <f>_xlfn.XLOOKUP(Table1[[#This Row],[PEP]],CatPEP!C:C,CatPEP!D:D,"")</f>
        <v/>
      </c>
      <c r="O82" s="53">
        <f>SUMIF('Registro Refacciones'!B:B, I82, 'Registro Refacciones'!I:I)</f>
        <v>0</v>
      </c>
      <c r="P82" s="26">
        <f>Table1[[#This Row],[Costo Servicio]]+Table1[[#This Row],[Refacciones]]</f>
        <v>0</v>
      </c>
      <c r="Q82" s="26"/>
    </row>
    <row r="83" spans="1:17">
      <c r="A83" s="37" t="str">
        <f>IF(Table1[[#This Row],[Tipo de Servicio]]="","",Caratula!$D$15)</f>
        <v/>
      </c>
      <c r="B83" s="37" t="str">
        <f>IF(Table1[[#This Row],[Tipo de Servicio]]="","",Caratula!$D$16)</f>
        <v/>
      </c>
      <c r="C83" s="24" t="str">
        <f>IF(Table1[[#This Row],[Tipo de Servicio]]="","",Caratula!$D$17)</f>
        <v/>
      </c>
      <c r="D83" s="38" t="str">
        <f>IF(ISBLANK(Table1[[#This Row],[Tipo de Servicio]]),"",Caratula!$D$16)</f>
        <v/>
      </c>
      <c r="F83" t="str">
        <f>_xlfn.XLOOKUP(Table1[[#This Row],[SelGZ]]&amp;Table1[[#This Row],[Tipo de Servicio]],CatPEP!A:A,CatPEP!C:C,"")</f>
        <v/>
      </c>
      <c r="G83" t="str">
        <f>_xlfn.XLOOKUP(Table1[[#This Row],[PEP]],CatPEP!C:C,CatPEP!D:D,"")</f>
        <v/>
      </c>
      <c r="O83" s="53">
        <f>SUMIF('Registro Refacciones'!B:B, I83, 'Registro Refacciones'!I:I)</f>
        <v>0</v>
      </c>
      <c r="P83" s="26">
        <f>Table1[[#This Row],[Costo Servicio]]+Table1[[#This Row],[Refacciones]]</f>
        <v>0</v>
      </c>
      <c r="Q83" s="26"/>
    </row>
    <row r="84" spans="1:17">
      <c r="A84" s="37" t="str">
        <f>IF(Table1[[#This Row],[Tipo de Servicio]]="","",Caratula!$D$15)</f>
        <v/>
      </c>
      <c r="B84" s="37" t="str">
        <f>IF(Table1[[#This Row],[Tipo de Servicio]]="","",Caratula!$D$16)</f>
        <v/>
      </c>
      <c r="C84" s="24" t="str">
        <f>IF(Table1[[#This Row],[Tipo de Servicio]]="","",Caratula!$D$17)</f>
        <v/>
      </c>
      <c r="D84" s="38" t="str">
        <f>IF(ISBLANK(Table1[[#This Row],[Tipo de Servicio]]),"",Caratula!$D$16)</f>
        <v/>
      </c>
      <c r="F84" t="str">
        <f>_xlfn.XLOOKUP(Table1[[#This Row],[SelGZ]]&amp;Table1[[#This Row],[Tipo de Servicio]],CatPEP!A:A,CatPEP!C:C,"")</f>
        <v/>
      </c>
      <c r="G84" t="str">
        <f>_xlfn.XLOOKUP(Table1[[#This Row],[PEP]],CatPEP!C:C,CatPEP!D:D,"")</f>
        <v/>
      </c>
      <c r="O84" s="53">
        <f>SUMIF('Registro Refacciones'!B:B, I84, 'Registro Refacciones'!I:I)</f>
        <v>0</v>
      </c>
      <c r="P84" s="26">
        <f>Table1[[#This Row],[Costo Servicio]]+Table1[[#This Row],[Refacciones]]</f>
        <v>0</v>
      </c>
      <c r="Q84" s="26"/>
    </row>
    <row r="85" spans="1:17">
      <c r="A85" s="37" t="str">
        <f>IF(Table1[[#This Row],[Tipo de Servicio]]="","",Caratula!$D$15)</f>
        <v/>
      </c>
      <c r="B85" s="37" t="str">
        <f>IF(Table1[[#This Row],[Tipo de Servicio]]="","",Caratula!$D$16)</f>
        <v/>
      </c>
      <c r="C85" s="24" t="str">
        <f>IF(Table1[[#This Row],[Tipo de Servicio]]="","",Caratula!$D$17)</f>
        <v/>
      </c>
      <c r="D85" s="38" t="str">
        <f>IF(ISBLANK(Table1[[#This Row],[Tipo de Servicio]]),"",Caratula!$D$16)</f>
        <v/>
      </c>
      <c r="F85" t="str">
        <f>_xlfn.XLOOKUP(Table1[[#This Row],[SelGZ]]&amp;Table1[[#This Row],[Tipo de Servicio]],CatPEP!A:A,CatPEP!C:C,"")</f>
        <v/>
      </c>
      <c r="G85" t="str">
        <f>_xlfn.XLOOKUP(Table1[[#This Row],[PEP]],CatPEP!C:C,CatPEP!D:D,"")</f>
        <v/>
      </c>
      <c r="O85" s="53">
        <f>SUMIF('Registro Refacciones'!B:B, I85, 'Registro Refacciones'!I:I)</f>
        <v>0</v>
      </c>
      <c r="P85" s="26">
        <f>Table1[[#This Row],[Costo Servicio]]+Table1[[#This Row],[Refacciones]]</f>
        <v>0</v>
      </c>
      <c r="Q85" s="26"/>
    </row>
    <row r="86" spans="1:17">
      <c r="A86" s="37" t="str">
        <f>IF(Table1[[#This Row],[Tipo de Servicio]]="","",Caratula!$D$15)</f>
        <v/>
      </c>
      <c r="B86" s="37" t="str">
        <f>IF(Table1[[#This Row],[Tipo de Servicio]]="","",Caratula!$D$16)</f>
        <v/>
      </c>
      <c r="C86" s="24" t="str">
        <f>IF(Table1[[#This Row],[Tipo de Servicio]]="","",Caratula!$D$17)</f>
        <v/>
      </c>
      <c r="D86" s="38" t="str">
        <f>IF(ISBLANK(Table1[[#This Row],[Tipo de Servicio]]),"",Caratula!$D$16)</f>
        <v/>
      </c>
      <c r="F86" t="str">
        <f>_xlfn.XLOOKUP(Table1[[#This Row],[SelGZ]]&amp;Table1[[#This Row],[Tipo de Servicio]],CatPEP!A:A,CatPEP!C:C,"")</f>
        <v/>
      </c>
      <c r="G86" t="str">
        <f>_xlfn.XLOOKUP(Table1[[#This Row],[PEP]],CatPEP!C:C,CatPEP!D:D,"")</f>
        <v/>
      </c>
      <c r="O86" s="53">
        <f>SUMIF('Registro Refacciones'!B:B, I86, 'Registro Refacciones'!I:I)</f>
        <v>0</v>
      </c>
      <c r="P86" s="26">
        <f>Table1[[#This Row],[Costo Servicio]]+Table1[[#This Row],[Refacciones]]</f>
        <v>0</v>
      </c>
      <c r="Q86" s="26"/>
    </row>
    <row r="87" spans="1:17">
      <c r="A87" s="37" t="str">
        <f>IF(Table1[[#This Row],[Tipo de Servicio]]="","",Caratula!$D$15)</f>
        <v/>
      </c>
      <c r="B87" s="37" t="str">
        <f>IF(Table1[[#This Row],[Tipo de Servicio]]="","",Caratula!$D$16)</f>
        <v/>
      </c>
      <c r="C87" s="24" t="str">
        <f>IF(Table1[[#This Row],[Tipo de Servicio]]="","",Caratula!$D$17)</f>
        <v/>
      </c>
      <c r="D87" s="38" t="str">
        <f>IF(ISBLANK(Table1[[#This Row],[Tipo de Servicio]]),"",Caratula!$D$16)</f>
        <v/>
      </c>
      <c r="F87" t="str">
        <f>_xlfn.XLOOKUP(Table1[[#This Row],[SelGZ]]&amp;Table1[[#This Row],[Tipo de Servicio]],CatPEP!A:A,CatPEP!C:C,"")</f>
        <v/>
      </c>
      <c r="G87" t="str">
        <f>_xlfn.XLOOKUP(Table1[[#This Row],[PEP]],CatPEP!C:C,CatPEP!D:D,"")</f>
        <v/>
      </c>
      <c r="O87" s="53">
        <f>SUMIF('Registro Refacciones'!B:B, I87, 'Registro Refacciones'!I:I)</f>
        <v>0</v>
      </c>
      <c r="P87" s="26">
        <f>Table1[[#This Row],[Costo Servicio]]+Table1[[#This Row],[Refacciones]]</f>
        <v>0</v>
      </c>
      <c r="Q87" s="26"/>
    </row>
    <row r="88" spans="1:17">
      <c r="A88" s="37" t="str">
        <f>IF(Table1[[#This Row],[Tipo de Servicio]]="","",Caratula!$D$15)</f>
        <v/>
      </c>
      <c r="B88" s="37" t="str">
        <f>IF(Table1[[#This Row],[Tipo de Servicio]]="","",Caratula!$D$16)</f>
        <v/>
      </c>
      <c r="C88" s="24" t="str">
        <f>IF(Table1[[#This Row],[Tipo de Servicio]]="","",Caratula!$D$17)</f>
        <v/>
      </c>
      <c r="D88" s="38" t="str">
        <f>IF(ISBLANK(Table1[[#This Row],[Tipo de Servicio]]),"",Caratula!$D$16)</f>
        <v/>
      </c>
      <c r="F88" t="str">
        <f>_xlfn.XLOOKUP(Table1[[#This Row],[SelGZ]]&amp;Table1[[#This Row],[Tipo de Servicio]],CatPEP!A:A,CatPEP!C:C,"")</f>
        <v/>
      </c>
      <c r="G88" t="str">
        <f>_xlfn.XLOOKUP(Table1[[#This Row],[PEP]],CatPEP!C:C,CatPEP!D:D,"")</f>
        <v/>
      </c>
      <c r="O88" s="53">
        <f>SUMIF('Registro Refacciones'!B:B, I88, 'Registro Refacciones'!I:I)</f>
        <v>0</v>
      </c>
      <c r="P88" s="26">
        <f>Table1[[#This Row],[Costo Servicio]]+Table1[[#This Row],[Refacciones]]</f>
        <v>0</v>
      </c>
      <c r="Q88" s="26"/>
    </row>
    <row r="89" spans="1:17">
      <c r="A89" s="37" t="str">
        <f>IF(Table1[[#This Row],[Tipo de Servicio]]="","",Caratula!$D$15)</f>
        <v/>
      </c>
      <c r="B89" s="37" t="str">
        <f>IF(Table1[[#This Row],[Tipo de Servicio]]="","",Caratula!$D$16)</f>
        <v/>
      </c>
      <c r="C89" s="24" t="str">
        <f>IF(Table1[[#This Row],[Tipo de Servicio]]="","",Caratula!$D$17)</f>
        <v/>
      </c>
      <c r="D89" s="38" t="str">
        <f>IF(ISBLANK(Table1[[#This Row],[Tipo de Servicio]]),"",Caratula!$D$16)</f>
        <v/>
      </c>
      <c r="F89" t="str">
        <f>_xlfn.XLOOKUP(Table1[[#This Row],[SelGZ]]&amp;Table1[[#This Row],[Tipo de Servicio]],CatPEP!A:A,CatPEP!C:C,"")</f>
        <v/>
      </c>
      <c r="G89" t="str">
        <f>_xlfn.XLOOKUP(Table1[[#This Row],[PEP]],CatPEP!C:C,CatPEP!D:D,"")</f>
        <v/>
      </c>
      <c r="O89" s="53">
        <f>SUMIF('Registro Refacciones'!B:B, I89, 'Registro Refacciones'!I:I)</f>
        <v>0</v>
      </c>
      <c r="P89" s="26">
        <f>Table1[[#This Row],[Costo Servicio]]+Table1[[#This Row],[Refacciones]]</f>
        <v>0</v>
      </c>
      <c r="Q89" s="26"/>
    </row>
    <row r="90" spans="1:17">
      <c r="A90" s="37" t="str">
        <f>IF(Table1[[#This Row],[Tipo de Servicio]]="","",Caratula!$D$15)</f>
        <v/>
      </c>
      <c r="B90" s="37" t="str">
        <f>IF(Table1[[#This Row],[Tipo de Servicio]]="","",Caratula!$D$16)</f>
        <v/>
      </c>
      <c r="C90" s="24" t="str">
        <f>IF(Table1[[#This Row],[Tipo de Servicio]]="","",Caratula!$D$17)</f>
        <v/>
      </c>
      <c r="D90" s="38" t="str">
        <f>IF(ISBLANK(Table1[[#This Row],[Tipo de Servicio]]),"",Caratula!$D$16)</f>
        <v/>
      </c>
      <c r="F90" t="str">
        <f>_xlfn.XLOOKUP(Table1[[#This Row],[SelGZ]]&amp;Table1[[#This Row],[Tipo de Servicio]],CatPEP!A:A,CatPEP!C:C,"")</f>
        <v/>
      </c>
      <c r="G90" t="str">
        <f>_xlfn.XLOOKUP(Table1[[#This Row],[PEP]],CatPEP!C:C,CatPEP!D:D,"")</f>
        <v/>
      </c>
      <c r="O90" s="53">
        <f>SUMIF('Registro Refacciones'!B:B, I90, 'Registro Refacciones'!I:I)</f>
        <v>0</v>
      </c>
      <c r="P90" s="26">
        <f>Table1[[#This Row],[Costo Servicio]]+Table1[[#This Row],[Refacciones]]</f>
        <v>0</v>
      </c>
      <c r="Q90" s="26"/>
    </row>
    <row r="91" spans="1:17">
      <c r="A91" s="37" t="str">
        <f>IF(Table1[[#This Row],[Tipo de Servicio]]="","",Caratula!$D$15)</f>
        <v/>
      </c>
      <c r="B91" s="37" t="str">
        <f>IF(Table1[[#This Row],[Tipo de Servicio]]="","",Caratula!$D$16)</f>
        <v/>
      </c>
      <c r="C91" s="24" t="str">
        <f>IF(Table1[[#This Row],[Tipo de Servicio]]="","",Caratula!$D$17)</f>
        <v/>
      </c>
      <c r="D91" s="38" t="str">
        <f>IF(ISBLANK(Table1[[#This Row],[Tipo de Servicio]]),"",Caratula!$D$16)</f>
        <v/>
      </c>
      <c r="F91" t="str">
        <f>_xlfn.XLOOKUP(Table1[[#This Row],[SelGZ]]&amp;Table1[[#This Row],[Tipo de Servicio]],CatPEP!A:A,CatPEP!C:C,"")</f>
        <v/>
      </c>
      <c r="G91" t="str">
        <f>_xlfn.XLOOKUP(Table1[[#This Row],[PEP]],CatPEP!C:C,CatPEP!D:D,"")</f>
        <v/>
      </c>
      <c r="O91" s="53">
        <f>SUMIF('Registro Refacciones'!B:B, I91, 'Registro Refacciones'!I:I)</f>
        <v>0</v>
      </c>
      <c r="P91" s="26">
        <f>Table1[[#This Row],[Costo Servicio]]+Table1[[#This Row],[Refacciones]]</f>
        <v>0</v>
      </c>
      <c r="Q91" s="26"/>
    </row>
    <row r="92" spans="1:17">
      <c r="A92" s="37" t="str">
        <f>IF(Table1[[#This Row],[Tipo de Servicio]]="","",Caratula!$D$15)</f>
        <v/>
      </c>
      <c r="B92" s="37" t="str">
        <f>IF(Table1[[#This Row],[Tipo de Servicio]]="","",Caratula!$D$16)</f>
        <v/>
      </c>
      <c r="C92" s="24" t="str">
        <f>IF(Table1[[#This Row],[Tipo de Servicio]]="","",Caratula!$D$17)</f>
        <v/>
      </c>
      <c r="D92" s="38" t="str">
        <f>IF(ISBLANK(Table1[[#This Row],[Tipo de Servicio]]),"",Caratula!$D$16)</f>
        <v/>
      </c>
      <c r="F92" t="str">
        <f>_xlfn.XLOOKUP(Table1[[#This Row],[SelGZ]]&amp;Table1[[#This Row],[Tipo de Servicio]],CatPEP!A:A,CatPEP!C:C,"")</f>
        <v/>
      </c>
      <c r="G92" t="str">
        <f>_xlfn.XLOOKUP(Table1[[#This Row],[PEP]],CatPEP!C:C,CatPEP!D:D,"")</f>
        <v/>
      </c>
      <c r="O92" s="53">
        <f>SUMIF('Registro Refacciones'!B:B, I92, 'Registro Refacciones'!I:I)</f>
        <v>0</v>
      </c>
      <c r="P92" s="26">
        <f>Table1[[#This Row],[Costo Servicio]]+Table1[[#This Row],[Refacciones]]</f>
        <v>0</v>
      </c>
      <c r="Q92" s="26"/>
    </row>
    <row r="93" spans="1:17">
      <c r="A93" s="37" t="str">
        <f>IF(Table1[[#This Row],[Tipo de Servicio]]="","",Caratula!$D$15)</f>
        <v/>
      </c>
      <c r="B93" s="37" t="str">
        <f>IF(Table1[[#This Row],[Tipo de Servicio]]="","",Caratula!$D$16)</f>
        <v/>
      </c>
      <c r="C93" s="24" t="str">
        <f>IF(Table1[[#This Row],[Tipo de Servicio]]="","",Caratula!$D$17)</f>
        <v/>
      </c>
      <c r="D93" s="38" t="str">
        <f>IF(ISBLANK(Table1[[#This Row],[Tipo de Servicio]]),"",Caratula!$D$16)</f>
        <v/>
      </c>
      <c r="F93" t="str">
        <f>_xlfn.XLOOKUP(Table1[[#This Row],[SelGZ]]&amp;Table1[[#This Row],[Tipo de Servicio]],CatPEP!A:A,CatPEP!C:C,"")</f>
        <v/>
      </c>
      <c r="G93" t="str">
        <f>_xlfn.XLOOKUP(Table1[[#This Row],[PEP]],CatPEP!C:C,CatPEP!D:D,"")</f>
        <v/>
      </c>
      <c r="O93" s="53">
        <f>SUMIF('Registro Refacciones'!B:B, I93, 'Registro Refacciones'!I:I)</f>
        <v>0</v>
      </c>
      <c r="P93" s="26">
        <f>Table1[[#This Row],[Costo Servicio]]+Table1[[#This Row],[Refacciones]]</f>
        <v>0</v>
      </c>
      <c r="Q93" s="26"/>
    </row>
    <row r="94" spans="1:17">
      <c r="A94" s="37" t="str">
        <f>IF(Table1[[#This Row],[Tipo de Servicio]]="","",Caratula!$D$15)</f>
        <v/>
      </c>
      <c r="B94" s="37" t="str">
        <f>IF(Table1[[#This Row],[Tipo de Servicio]]="","",Caratula!$D$16)</f>
        <v/>
      </c>
      <c r="C94" s="24" t="str">
        <f>IF(Table1[[#This Row],[Tipo de Servicio]]="","",Caratula!$D$17)</f>
        <v/>
      </c>
      <c r="D94" s="38" t="str">
        <f>IF(ISBLANK(Table1[[#This Row],[Tipo de Servicio]]),"",Caratula!$D$16)</f>
        <v/>
      </c>
      <c r="F94" t="str">
        <f>_xlfn.XLOOKUP(Table1[[#This Row],[SelGZ]]&amp;Table1[[#This Row],[Tipo de Servicio]],CatPEP!A:A,CatPEP!C:C,"")</f>
        <v/>
      </c>
      <c r="G94" t="str">
        <f>_xlfn.XLOOKUP(Table1[[#This Row],[PEP]],CatPEP!C:C,CatPEP!D:D,"")</f>
        <v/>
      </c>
      <c r="O94" s="53">
        <f>SUMIF('Registro Refacciones'!B:B, I94, 'Registro Refacciones'!I:I)</f>
        <v>0</v>
      </c>
      <c r="P94" s="26">
        <f>Table1[[#This Row],[Costo Servicio]]+Table1[[#This Row],[Refacciones]]</f>
        <v>0</v>
      </c>
      <c r="Q94" s="26"/>
    </row>
    <row r="95" spans="1:17">
      <c r="A95" s="37" t="str">
        <f>IF(Table1[[#This Row],[Tipo de Servicio]]="","",Caratula!$D$15)</f>
        <v/>
      </c>
      <c r="B95" s="37" t="str">
        <f>IF(Table1[[#This Row],[Tipo de Servicio]]="","",Caratula!$D$16)</f>
        <v/>
      </c>
      <c r="C95" s="24" t="str">
        <f>IF(Table1[[#This Row],[Tipo de Servicio]]="","",Caratula!$D$17)</f>
        <v/>
      </c>
      <c r="D95" s="38" t="str">
        <f>IF(ISBLANK(Table1[[#This Row],[Tipo de Servicio]]),"",Caratula!$D$16)</f>
        <v/>
      </c>
      <c r="F95" t="str">
        <f>_xlfn.XLOOKUP(Table1[[#This Row],[SelGZ]]&amp;Table1[[#This Row],[Tipo de Servicio]],CatPEP!A:A,CatPEP!C:C,"")</f>
        <v/>
      </c>
      <c r="G95" t="str">
        <f>_xlfn.XLOOKUP(Table1[[#This Row],[PEP]],CatPEP!C:C,CatPEP!D:D,"")</f>
        <v/>
      </c>
      <c r="O95" s="53">
        <f>SUMIF('Registro Refacciones'!B:B, I95, 'Registro Refacciones'!I:I)</f>
        <v>0</v>
      </c>
      <c r="P95" s="26">
        <f>Table1[[#This Row],[Costo Servicio]]+Table1[[#This Row],[Refacciones]]</f>
        <v>0</v>
      </c>
      <c r="Q95" s="26"/>
    </row>
    <row r="96" spans="1:17">
      <c r="A96" s="37" t="str">
        <f>IF(Table1[[#This Row],[Tipo de Servicio]]="","",Caratula!$D$15)</f>
        <v/>
      </c>
      <c r="B96" s="37" t="str">
        <f>IF(Table1[[#This Row],[Tipo de Servicio]]="","",Caratula!$D$16)</f>
        <v/>
      </c>
      <c r="C96" s="24" t="str">
        <f>IF(Table1[[#This Row],[Tipo de Servicio]]="","",Caratula!$D$17)</f>
        <v/>
      </c>
      <c r="D96" s="38" t="str">
        <f>IF(ISBLANK(Table1[[#This Row],[Tipo de Servicio]]),"",Caratula!$D$16)</f>
        <v/>
      </c>
      <c r="F96" t="str">
        <f>_xlfn.XLOOKUP(Table1[[#This Row],[SelGZ]]&amp;Table1[[#This Row],[Tipo de Servicio]],CatPEP!A:A,CatPEP!C:C,"")</f>
        <v/>
      </c>
      <c r="G96" t="str">
        <f>_xlfn.XLOOKUP(Table1[[#This Row],[PEP]],CatPEP!C:C,CatPEP!D:D,"")</f>
        <v/>
      </c>
      <c r="O96" s="53">
        <f>SUMIF('Registro Refacciones'!B:B, I96, 'Registro Refacciones'!I:I)</f>
        <v>0</v>
      </c>
      <c r="P96" s="26">
        <f>Table1[[#This Row],[Costo Servicio]]+Table1[[#This Row],[Refacciones]]</f>
        <v>0</v>
      </c>
      <c r="Q96" s="26"/>
    </row>
    <row r="97" spans="1:17">
      <c r="A97" s="37" t="str">
        <f>IF(Table1[[#This Row],[Tipo de Servicio]]="","",Caratula!$D$15)</f>
        <v/>
      </c>
      <c r="B97" s="37" t="str">
        <f>IF(Table1[[#This Row],[Tipo de Servicio]]="","",Caratula!$D$16)</f>
        <v/>
      </c>
      <c r="C97" s="24" t="str">
        <f>IF(Table1[[#This Row],[Tipo de Servicio]]="","",Caratula!$D$17)</f>
        <v/>
      </c>
      <c r="D97" s="38" t="str">
        <f>IF(ISBLANK(Table1[[#This Row],[Tipo de Servicio]]),"",Caratula!$D$16)</f>
        <v/>
      </c>
      <c r="F97" t="str">
        <f>_xlfn.XLOOKUP(Table1[[#This Row],[SelGZ]]&amp;Table1[[#This Row],[Tipo de Servicio]],CatPEP!A:A,CatPEP!C:C,"")</f>
        <v/>
      </c>
      <c r="G97" t="str">
        <f>_xlfn.XLOOKUP(Table1[[#This Row],[PEP]],CatPEP!C:C,CatPEP!D:D,"")</f>
        <v/>
      </c>
      <c r="O97" s="53">
        <f>SUMIF('Registro Refacciones'!B:B, I97, 'Registro Refacciones'!I:I)</f>
        <v>0</v>
      </c>
      <c r="P97" s="26">
        <f>Table1[[#This Row],[Costo Servicio]]+Table1[[#This Row],[Refacciones]]</f>
        <v>0</v>
      </c>
      <c r="Q97" s="26"/>
    </row>
    <row r="98" spans="1:17">
      <c r="A98" s="37" t="str">
        <f>IF(Table1[[#This Row],[Tipo de Servicio]]="","",Caratula!$D$15)</f>
        <v/>
      </c>
      <c r="B98" s="37" t="str">
        <f>IF(Table1[[#This Row],[Tipo de Servicio]]="","",Caratula!$D$16)</f>
        <v/>
      </c>
      <c r="C98" s="24" t="str">
        <f>IF(Table1[[#This Row],[Tipo de Servicio]]="","",Caratula!$D$17)</f>
        <v/>
      </c>
      <c r="D98" s="38" t="str">
        <f>IF(ISBLANK(Table1[[#This Row],[Tipo de Servicio]]),"",Caratula!$D$16)</f>
        <v/>
      </c>
      <c r="F98" t="str">
        <f>_xlfn.XLOOKUP(Table1[[#This Row],[SelGZ]]&amp;Table1[[#This Row],[Tipo de Servicio]],CatPEP!A:A,CatPEP!C:C,"")</f>
        <v/>
      </c>
      <c r="G98" t="str">
        <f>_xlfn.XLOOKUP(Table1[[#This Row],[PEP]],CatPEP!C:C,CatPEP!D:D,"")</f>
        <v/>
      </c>
      <c r="O98" s="53">
        <f>SUMIF('Registro Refacciones'!B:B, I98, 'Registro Refacciones'!I:I)</f>
        <v>0</v>
      </c>
      <c r="P98" s="26">
        <f>Table1[[#This Row],[Costo Servicio]]+Table1[[#This Row],[Refacciones]]</f>
        <v>0</v>
      </c>
      <c r="Q98" s="26"/>
    </row>
    <row r="99" spans="1:17">
      <c r="A99" s="37" t="str">
        <f>IF(Table1[[#This Row],[Tipo de Servicio]]="","",Caratula!$D$15)</f>
        <v/>
      </c>
      <c r="B99" s="37" t="str">
        <f>IF(Table1[[#This Row],[Tipo de Servicio]]="","",Caratula!$D$16)</f>
        <v/>
      </c>
      <c r="C99" s="24" t="str">
        <f>IF(Table1[[#This Row],[Tipo de Servicio]]="","",Caratula!$D$17)</f>
        <v/>
      </c>
      <c r="D99" s="38" t="str">
        <f>IF(ISBLANK(Table1[[#This Row],[Tipo de Servicio]]),"",Caratula!$D$16)</f>
        <v/>
      </c>
      <c r="F99" t="str">
        <f>_xlfn.XLOOKUP(Table1[[#This Row],[SelGZ]]&amp;Table1[[#This Row],[Tipo de Servicio]],CatPEP!A:A,CatPEP!C:C,"")</f>
        <v/>
      </c>
      <c r="G99" t="str">
        <f>_xlfn.XLOOKUP(Table1[[#This Row],[PEP]],CatPEP!C:C,CatPEP!D:D,"")</f>
        <v/>
      </c>
      <c r="O99" s="53">
        <f>SUMIF('Registro Refacciones'!B:B, I99, 'Registro Refacciones'!I:I)</f>
        <v>0</v>
      </c>
      <c r="P99" s="26">
        <f>Table1[[#This Row],[Costo Servicio]]+Table1[[#This Row],[Refacciones]]</f>
        <v>0</v>
      </c>
      <c r="Q99" s="26"/>
    </row>
    <row r="100" spans="1:17">
      <c r="A100" s="37" t="str">
        <f>IF(Table1[[#This Row],[Tipo de Servicio]]="","",Caratula!$D$15)</f>
        <v/>
      </c>
      <c r="B100" s="37" t="str">
        <f>IF(Table1[[#This Row],[Tipo de Servicio]]="","",Caratula!$D$16)</f>
        <v/>
      </c>
      <c r="C100" s="24" t="str">
        <f>IF(Table1[[#This Row],[Tipo de Servicio]]="","",Caratula!$D$17)</f>
        <v/>
      </c>
      <c r="D100" s="38" t="str">
        <f>IF(ISBLANK(Table1[[#This Row],[Tipo de Servicio]]),"",Caratula!$D$16)</f>
        <v/>
      </c>
      <c r="F100" t="str">
        <f>_xlfn.XLOOKUP(Table1[[#This Row],[SelGZ]]&amp;Table1[[#This Row],[Tipo de Servicio]],CatPEP!A:A,CatPEP!C:C,"")</f>
        <v/>
      </c>
      <c r="G100" t="str">
        <f>_xlfn.XLOOKUP(Table1[[#This Row],[PEP]],CatPEP!C:C,CatPEP!D:D,"")</f>
        <v/>
      </c>
      <c r="O100" s="53">
        <f>SUMIF('Registro Refacciones'!B:B, I100, 'Registro Refacciones'!I:I)</f>
        <v>0</v>
      </c>
      <c r="P100" s="26">
        <f>Table1[[#This Row],[Costo Servicio]]+Table1[[#This Row],[Refacciones]]</f>
        <v>0</v>
      </c>
      <c r="Q100" s="26"/>
    </row>
    <row r="101" spans="1:17">
      <c r="A101" s="37" t="str">
        <f>IF(Table1[[#This Row],[Tipo de Servicio]]="","",Caratula!$D$15)</f>
        <v/>
      </c>
      <c r="B101" s="37" t="str">
        <f>IF(Table1[[#This Row],[Tipo de Servicio]]="","",Caratula!$D$16)</f>
        <v/>
      </c>
      <c r="C101" s="24" t="str">
        <f>IF(Table1[[#This Row],[Tipo de Servicio]]="","",Caratula!$D$17)</f>
        <v/>
      </c>
      <c r="D101" s="38" t="str">
        <f>IF(ISBLANK(Table1[[#This Row],[Tipo de Servicio]]),"",Caratula!$D$16)</f>
        <v/>
      </c>
      <c r="F101" t="str">
        <f>_xlfn.XLOOKUP(Table1[[#This Row],[SelGZ]]&amp;Table1[[#This Row],[Tipo de Servicio]],CatPEP!A:A,CatPEP!C:C,"")</f>
        <v/>
      </c>
      <c r="G101" t="str">
        <f>_xlfn.XLOOKUP(Table1[[#This Row],[PEP]],CatPEP!C:C,CatPEP!D:D,"")</f>
        <v/>
      </c>
      <c r="O101" s="53">
        <f>SUMIF('Registro Refacciones'!B:B, I101, 'Registro Refacciones'!I:I)</f>
        <v>0</v>
      </c>
      <c r="P101" s="26">
        <f>Table1[[#This Row],[Costo Servicio]]+Table1[[#This Row],[Refacciones]]</f>
        <v>0</v>
      </c>
      <c r="Q101" s="26"/>
    </row>
    <row r="102" spans="1:17">
      <c r="A102" s="37" t="str">
        <f>IF(Table1[[#This Row],[Tipo de Servicio]]="","",Caratula!$D$15)</f>
        <v/>
      </c>
      <c r="B102" s="37" t="str">
        <f>IF(Table1[[#This Row],[Tipo de Servicio]]="","",Caratula!$D$16)</f>
        <v/>
      </c>
      <c r="C102" s="24" t="str">
        <f>IF(Table1[[#This Row],[Tipo de Servicio]]="","",Caratula!$D$17)</f>
        <v/>
      </c>
      <c r="D102" s="38" t="str">
        <f>IF(ISBLANK(Table1[[#This Row],[Tipo de Servicio]]),"",Caratula!$D$16)</f>
        <v/>
      </c>
      <c r="F102" t="str">
        <f>_xlfn.XLOOKUP(Table1[[#This Row],[SelGZ]]&amp;Table1[[#This Row],[Tipo de Servicio]],CatPEP!A:A,CatPEP!C:C,"")</f>
        <v/>
      </c>
      <c r="G102" t="str">
        <f>_xlfn.XLOOKUP(Table1[[#This Row],[PEP]],CatPEP!C:C,CatPEP!D:D,"")</f>
        <v/>
      </c>
      <c r="O102" s="53">
        <f>SUMIF('Registro Refacciones'!B:B, I102, 'Registro Refacciones'!I:I)</f>
        <v>0</v>
      </c>
      <c r="P102" s="26">
        <f>Table1[[#This Row],[Costo Servicio]]+Table1[[#This Row],[Refacciones]]</f>
        <v>0</v>
      </c>
      <c r="Q102" s="26"/>
    </row>
    <row r="103" spans="1:17">
      <c r="A103" s="37" t="str">
        <f>IF(Table1[[#This Row],[Tipo de Servicio]]="","",Caratula!$D$15)</f>
        <v/>
      </c>
      <c r="B103" s="37" t="str">
        <f>IF(Table1[[#This Row],[Tipo de Servicio]]="","",Caratula!$D$16)</f>
        <v/>
      </c>
      <c r="C103" s="24" t="str">
        <f>IF(Table1[[#This Row],[Tipo de Servicio]]="","",Caratula!$D$17)</f>
        <v/>
      </c>
      <c r="D103" s="38" t="str">
        <f>IF(ISBLANK(Table1[[#This Row],[Tipo de Servicio]]),"",Caratula!$D$16)</f>
        <v/>
      </c>
      <c r="F103" t="str">
        <f>_xlfn.XLOOKUP(Table1[[#This Row],[SelGZ]]&amp;Table1[[#This Row],[Tipo de Servicio]],CatPEP!A:A,CatPEP!C:C,"")</f>
        <v/>
      </c>
      <c r="G103" t="str">
        <f>_xlfn.XLOOKUP(Table1[[#This Row],[PEP]],CatPEP!C:C,CatPEP!D:D,"")</f>
        <v/>
      </c>
      <c r="O103" s="53">
        <f>SUMIF('Registro Refacciones'!B:B, I103, 'Registro Refacciones'!I:I)</f>
        <v>0</v>
      </c>
      <c r="P103" s="26">
        <f>Table1[[#This Row],[Costo Servicio]]+Table1[[#This Row],[Refacciones]]</f>
        <v>0</v>
      </c>
      <c r="Q103" s="26"/>
    </row>
    <row r="104" spans="1:17">
      <c r="A104" s="37" t="str">
        <f>IF(Table1[[#This Row],[Tipo de Servicio]]="","",Caratula!$D$15)</f>
        <v/>
      </c>
      <c r="B104" s="37" t="str">
        <f>IF(Table1[[#This Row],[Tipo de Servicio]]="","",Caratula!$D$16)</f>
        <v/>
      </c>
      <c r="C104" s="24" t="str">
        <f>IF(Table1[[#This Row],[Tipo de Servicio]]="","",Caratula!$D$17)</f>
        <v/>
      </c>
      <c r="D104" s="38" t="str">
        <f>IF(ISBLANK(Table1[[#This Row],[Tipo de Servicio]]),"",Caratula!$D$16)</f>
        <v/>
      </c>
      <c r="F104" t="str">
        <f>_xlfn.XLOOKUP(Table1[[#This Row],[SelGZ]]&amp;Table1[[#This Row],[Tipo de Servicio]],CatPEP!A:A,CatPEP!C:C,"")</f>
        <v/>
      </c>
      <c r="G104" t="str">
        <f>_xlfn.XLOOKUP(Table1[[#This Row],[PEP]],CatPEP!C:C,CatPEP!D:D,"")</f>
        <v/>
      </c>
      <c r="O104" s="53">
        <f>SUMIF('Registro Refacciones'!B:B, I104, 'Registro Refacciones'!I:I)</f>
        <v>0</v>
      </c>
      <c r="P104" s="26">
        <f>Table1[[#This Row],[Costo Servicio]]+Table1[[#This Row],[Refacciones]]</f>
        <v>0</v>
      </c>
      <c r="Q104" s="26"/>
    </row>
    <row r="105" spans="1:17">
      <c r="A105" s="37" t="str">
        <f>IF(Table1[[#This Row],[Tipo de Servicio]]="","",Caratula!$D$15)</f>
        <v/>
      </c>
      <c r="B105" s="37" t="str">
        <f>IF(Table1[[#This Row],[Tipo de Servicio]]="","",Caratula!$D$16)</f>
        <v/>
      </c>
      <c r="C105" s="24" t="str">
        <f>IF(Table1[[#This Row],[Tipo de Servicio]]="","",Caratula!$D$17)</f>
        <v/>
      </c>
      <c r="D105" s="38" t="str">
        <f>IF(ISBLANK(Table1[[#This Row],[Tipo de Servicio]]),"",Caratula!$D$16)</f>
        <v/>
      </c>
      <c r="F105" t="str">
        <f>_xlfn.XLOOKUP(Table1[[#This Row],[SelGZ]]&amp;Table1[[#This Row],[Tipo de Servicio]],CatPEP!A:A,CatPEP!C:C,"")</f>
        <v/>
      </c>
      <c r="G105" t="str">
        <f>_xlfn.XLOOKUP(Table1[[#This Row],[PEP]],CatPEP!C:C,CatPEP!D:D,"")</f>
        <v/>
      </c>
      <c r="O105" s="53">
        <f>SUMIF('Registro Refacciones'!B:B, I105, 'Registro Refacciones'!I:I)</f>
        <v>0</v>
      </c>
      <c r="P105" s="26">
        <f>Table1[[#This Row],[Costo Servicio]]+Table1[[#This Row],[Refacciones]]</f>
        <v>0</v>
      </c>
      <c r="Q105" s="26"/>
    </row>
    <row r="106" spans="1:17">
      <c r="A106" s="37" t="str">
        <f>IF(Table1[[#This Row],[Tipo de Servicio]]="","",Caratula!$D$15)</f>
        <v/>
      </c>
      <c r="B106" s="37" t="str">
        <f>IF(Table1[[#This Row],[Tipo de Servicio]]="","",Caratula!$D$16)</f>
        <v/>
      </c>
      <c r="C106" s="24" t="str">
        <f>IF(Table1[[#This Row],[Tipo de Servicio]]="","",Caratula!$D$17)</f>
        <v/>
      </c>
      <c r="D106" s="38" t="str">
        <f>IF(ISBLANK(Table1[[#This Row],[Tipo de Servicio]]),"",Caratula!$D$16)</f>
        <v/>
      </c>
      <c r="F106" t="str">
        <f>_xlfn.XLOOKUP(Table1[[#This Row],[SelGZ]]&amp;Table1[[#This Row],[Tipo de Servicio]],CatPEP!A:A,CatPEP!C:C,"")</f>
        <v/>
      </c>
      <c r="G106" t="str">
        <f>_xlfn.XLOOKUP(Table1[[#This Row],[PEP]],CatPEP!C:C,CatPEP!D:D,"")</f>
        <v/>
      </c>
      <c r="O106" s="53">
        <f>SUMIF('Registro Refacciones'!B:B, I106, 'Registro Refacciones'!I:I)</f>
        <v>0</v>
      </c>
      <c r="P106" s="26">
        <f>Table1[[#This Row],[Costo Servicio]]+Table1[[#This Row],[Refacciones]]</f>
        <v>0</v>
      </c>
      <c r="Q106" s="26"/>
    </row>
    <row r="107" spans="1:17">
      <c r="A107" s="37" t="str">
        <f>IF(Table1[[#This Row],[Tipo de Servicio]]="","",Caratula!$D$15)</f>
        <v/>
      </c>
      <c r="B107" s="37" t="str">
        <f>IF(Table1[[#This Row],[Tipo de Servicio]]="","",Caratula!$D$16)</f>
        <v/>
      </c>
      <c r="C107" s="24" t="str">
        <f>IF(Table1[[#This Row],[Tipo de Servicio]]="","",Caratula!$D$17)</f>
        <v/>
      </c>
      <c r="D107" s="38" t="str">
        <f>IF(ISBLANK(Table1[[#This Row],[Tipo de Servicio]]),"",Caratula!$D$16)</f>
        <v/>
      </c>
      <c r="F107" t="str">
        <f>_xlfn.XLOOKUP(Table1[[#This Row],[SelGZ]]&amp;Table1[[#This Row],[Tipo de Servicio]],CatPEP!A:A,CatPEP!C:C,"")</f>
        <v/>
      </c>
      <c r="G107" t="str">
        <f>_xlfn.XLOOKUP(Table1[[#This Row],[PEP]],CatPEP!C:C,CatPEP!D:D,"")</f>
        <v/>
      </c>
      <c r="O107" s="53">
        <f>SUMIF('Registro Refacciones'!B:B, I107, 'Registro Refacciones'!I:I)</f>
        <v>0</v>
      </c>
      <c r="P107" s="26">
        <f>Table1[[#This Row],[Costo Servicio]]+Table1[[#This Row],[Refacciones]]</f>
        <v>0</v>
      </c>
      <c r="Q107" s="26"/>
    </row>
    <row r="108" spans="1:17">
      <c r="A108" s="37" t="str">
        <f>IF(Table1[[#This Row],[Tipo de Servicio]]="","",Caratula!$D$15)</f>
        <v/>
      </c>
      <c r="B108" s="37" t="str">
        <f>IF(Table1[[#This Row],[Tipo de Servicio]]="","",Caratula!$D$16)</f>
        <v/>
      </c>
      <c r="C108" s="24" t="str">
        <f>IF(Table1[[#This Row],[Tipo de Servicio]]="","",Caratula!$D$17)</f>
        <v/>
      </c>
      <c r="D108" s="38" t="str">
        <f>IF(ISBLANK(Table1[[#This Row],[Tipo de Servicio]]),"",Caratula!$D$16)</f>
        <v/>
      </c>
      <c r="F108" t="str">
        <f>_xlfn.XLOOKUP(Table1[[#This Row],[SelGZ]]&amp;Table1[[#This Row],[Tipo de Servicio]],CatPEP!A:A,CatPEP!C:C,"")</f>
        <v/>
      </c>
      <c r="G108" t="str">
        <f>_xlfn.XLOOKUP(Table1[[#This Row],[PEP]],CatPEP!C:C,CatPEP!D:D,"")</f>
        <v/>
      </c>
      <c r="O108" s="53">
        <f>SUMIF('Registro Refacciones'!B:B, I108, 'Registro Refacciones'!I:I)</f>
        <v>0</v>
      </c>
      <c r="P108" s="26">
        <f>Table1[[#This Row],[Costo Servicio]]+Table1[[#This Row],[Refacciones]]</f>
        <v>0</v>
      </c>
      <c r="Q108" s="26"/>
    </row>
    <row r="109" spans="1:17">
      <c r="A109" s="37" t="str">
        <f>IF(Table1[[#This Row],[Tipo de Servicio]]="","",Caratula!$D$15)</f>
        <v/>
      </c>
      <c r="B109" s="37" t="str">
        <f>IF(Table1[[#This Row],[Tipo de Servicio]]="","",Caratula!$D$16)</f>
        <v/>
      </c>
      <c r="C109" s="24" t="str">
        <f>IF(Table1[[#This Row],[Tipo de Servicio]]="","",Caratula!$D$17)</f>
        <v/>
      </c>
      <c r="D109" s="38" t="str">
        <f>IF(ISBLANK(Table1[[#This Row],[Tipo de Servicio]]),"",Caratula!$D$16)</f>
        <v/>
      </c>
      <c r="F109" t="str">
        <f>_xlfn.XLOOKUP(Table1[[#This Row],[SelGZ]]&amp;Table1[[#This Row],[Tipo de Servicio]],CatPEP!A:A,CatPEP!C:C,"")</f>
        <v/>
      </c>
      <c r="G109" t="str">
        <f>_xlfn.XLOOKUP(Table1[[#This Row],[PEP]],CatPEP!C:C,CatPEP!D:D,"")</f>
        <v/>
      </c>
      <c r="O109" s="53">
        <f>SUMIF('Registro Refacciones'!B:B, I109, 'Registro Refacciones'!I:I)</f>
        <v>0</v>
      </c>
      <c r="P109" s="26">
        <f>Table1[[#This Row],[Costo Servicio]]+Table1[[#This Row],[Refacciones]]</f>
        <v>0</v>
      </c>
      <c r="Q109" s="26"/>
    </row>
    <row r="110" spans="1:17">
      <c r="A110" s="37" t="str">
        <f>IF(Table1[[#This Row],[Tipo de Servicio]]="","",Caratula!$D$15)</f>
        <v/>
      </c>
      <c r="B110" s="37" t="str">
        <f>IF(Table1[[#This Row],[Tipo de Servicio]]="","",Caratula!$D$16)</f>
        <v/>
      </c>
      <c r="C110" s="24" t="str">
        <f>IF(Table1[[#This Row],[Tipo de Servicio]]="","",Caratula!$D$17)</f>
        <v/>
      </c>
      <c r="D110" s="38" t="str">
        <f>IF(ISBLANK(Table1[[#This Row],[Tipo de Servicio]]),"",Caratula!$D$16)</f>
        <v/>
      </c>
      <c r="F110" t="str">
        <f>_xlfn.XLOOKUP(Table1[[#This Row],[SelGZ]]&amp;Table1[[#This Row],[Tipo de Servicio]],CatPEP!A:A,CatPEP!C:C,"")</f>
        <v/>
      </c>
      <c r="G110" t="str">
        <f>_xlfn.XLOOKUP(Table1[[#This Row],[PEP]],CatPEP!C:C,CatPEP!D:D,"")</f>
        <v/>
      </c>
      <c r="O110" s="53">
        <f>SUMIF('Registro Refacciones'!B:B, I110, 'Registro Refacciones'!I:I)</f>
        <v>0</v>
      </c>
      <c r="P110" s="26">
        <f>Table1[[#This Row],[Costo Servicio]]+Table1[[#This Row],[Refacciones]]</f>
        <v>0</v>
      </c>
      <c r="Q110" s="26"/>
    </row>
    <row r="111" spans="1:17">
      <c r="A111" s="37" t="str">
        <f>IF(Table1[[#This Row],[Tipo de Servicio]]="","",Caratula!$D$15)</f>
        <v/>
      </c>
      <c r="B111" s="37" t="str">
        <f>IF(Table1[[#This Row],[Tipo de Servicio]]="","",Caratula!$D$16)</f>
        <v/>
      </c>
      <c r="C111" s="24" t="str">
        <f>IF(Table1[[#This Row],[Tipo de Servicio]]="","",Caratula!$D$17)</f>
        <v/>
      </c>
      <c r="D111" s="38" t="str">
        <f>IF(ISBLANK(Table1[[#This Row],[Tipo de Servicio]]),"",Caratula!$D$16)</f>
        <v/>
      </c>
      <c r="F111" t="str">
        <f>_xlfn.XLOOKUP(Table1[[#This Row],[SelGZ]]&amp;Table1[[#This Row],[Tipo de Servicio]],CatPEP!A:A,CatPEP!C:C,"")</f>
        <v/>
      </c>
      <c r="G111" t="str">
        <f>_xlfn.XLOOKUP(Table1[[#This Row],[PEP]],CatPEP!C:C,CatPEP!D:D,"")</f>
        <v/>
      </c>
      <c r="O111" s="53">
        <f>SUMIF('Registro Refacciones'!B:B, I111, 'Registro Refacciones'!I:I)</f>
        <v>0</v>
      </c>
      <c r="P111" s="26">
        <f>Table1[[#This Row],[Costo Servicio]]+Table1[[#This Row],[Refacciones]]</f>
        <v>0</v>
      </c>
      <c r="Q111" s="26"/>
    </row>
    <row r="112" spans="1:17">
      <c r="A112" s="37" t="str">
        <f>IF(Table1[[#This Row],[Tipo de Servicio]]="","",Caratula!$D$15)</f>
        <v/>
      </c>
      <c r="B112" s="37" t="str">
        <f>IF(Table1[[#This Row],[Tipo de Servicio]]="","",Caratula!$D$16)</f>
        <v/>
      </c>
      <c r="C112" s="24" t="str">
        <f>IF(Table1[[#This Row],[Tipo de Servicio]]="","",Caratula!$D$17)</f>
        <v/>
      </c>
      <c r="D112" s="38" t="str">
        <f>IF(ISBLANK(Table1[[#This Row],[Tipo de Servicio]]),"",Caratula!$D$16)</f>
        <v/>
      </c>
      <c r="F112" t="str">
        <f>_xlfn.XLOOKUP(Table1[[#This Row],[SelGZ]]&amp;Table1[[#This Row],[Tipo de Servicio]],CatPEP!A:A,CatPEP!C:C,"")</f>
        <v/>
      </c>
      <c r="G112" t="str">
        <f>_xlfn.XLOOKUP(Table1[[#This Row],[PEP]],CatPEP!C:C,CatPEP!D:D,"")</f>
        <v/>
      </c>
      <c r="O112" s="53">
        <f>SUMIF('Registro Refacciones'!B:B, I112, 'Registro Refacciones'!I:I)</f>
        <v>0</v>
      </c>
      <c r="P112" s="26">
        <f>Table1[[#This Row],[Costo Servicio]]+Table1[[#This Row],[Refacciones]]</f>
        <v>0</v>
      </c>
      <c r="Q112" s="26"/>
    </row>
    <row r="113" spans="1:17">
      <c r="A113" s="37" t="str">
        <f>IF(Table1[[#This Row],[Tipo de Servicio]]="","",Caratula!$D$15)</f>
        <v/>
      </c>
      <c r="B113" s="37" t="str">
        <f>IF(Table1[[#This Row],[Tipo de Servicio]]="","",Caratula!$D$16)</f>
        <v/>
      </c>
      <c r="C113" s="24" t="str">
        <f>IF(Table1[[#This Row],[Tipo de Servicio]]="","",Caratula!$D$17)</f>
        <v/>
      </c>
      <c r="D113" s="38" t="str">
        <f>IF(ISBLANK(Table1[[#This Row],[Tipo de Servicio]]),"",Caratula!$D$16)</f>
        <v/>
      </c>
      <c r="F113" t="str">
        <f>_xlfn.XLOOKUP(Table1[[#This Row],[SelGZ]]&amp;Table1[[#This Row],[Tipo de Servicio]],CatPEP!A:A,CatPEP!C:C,"")</f>
        <v/>
      </c>
      <c r="G113" t="str">
        <f>_xlfn.XLOOKUP(Table1[[#This Row],[PEP]],CatPEP!C:C,CatPEP!D:D,"")</f>
        <v/>
      </c>
      <c r="O113" s="53">
        <f>SUMIF('Registro Refacciones'!B:B, I113, 'Registro Refacciones'!I:I)</f>
        <v>0</v>
      </c>
      <c r="P113" s="26">
        <f>Table1[[#This Row],[Costo Servicio]]+Table1[[#This Row],[Refacciones]]</f>
        <v>0</v>
      </c>
      <c r="Q113" s="26"/>
    </row>
    <row r="114" spans="1:17">
      <c r="A114" s="37" t="str">
        <f>IF(Table1[[#This Row],[Tipo de Servicio]]="","",Caratula!$D$15)</f>
        <v/>
      </c>
      <c r="B114" s="37" t="str">
        <f>IF(Table1[[#This Row],[Tipo de Servicio]]="","",Caratula!$D$16)</f>
        <v/>
      </c>
      <c r="C114" s="24" t="str">
        <f>IF(Table1[[#This Row],[Tipo de Servicio]]="","",Caratula!$D$17)</f>
        <v/>
      </c>
      <c r="D114" s="38" t="str">
        <f>IF(ISBLANK(Table1[[#This Row],[Tipo de Servicio]]),"",Caratula!$D$16)</f>
        <v/>
      </c>
      <c r="F114" t="str">
        <f>_xlfn.XLOOKUP(Table1[[#This Row],[SelGZ]]&amp;Table1[[#This Row],[Tipo de Servicio]],CatPEP!A:A,CatPEP!C:C,"")</f>
        <v/>
      </c>
      <c r="G114" t="str">
        <f>_xlfn.XLOOKUP(Table1[[#This Row],[PEP]],CatPEP!C:C,CatPEP!D:D,"")</f>
        <v/>
      </c>
      <c r="O114" s="53">
        <f>SUMIF('Registro Refacciones'!B:B, I114, 'Registro Refacciones'!I:I)</f>
        <v>0</v>
      </c>
      <c r="P114" s="26">
        <f>Table1[[#This Row],[Costo Servicio]]+Table1[[#This Row],[Refacciones]]</f>
        <v>0</v>
      </c>
      <c r="Q114" s="26"/>
    </row>
    <row r="115" spans="1:17">
      <c r="A115" s="37" t="str">
        <f>IF(Table1[[#This Row],[Tipo de Servicio]]="","",Caratula!$D$15)</f>
        <v/>
      </c>
      <c r="B115" s="37" t="str">
        <f>IF(Table1[[#This Row],[Tipo de Servicio]]="","",Caratula!$D$16)</f>
        <v/>
      </c>
      <c r="C115" s="24" t="str">
        <f>IF(Table1[[#This Row],[Tipo de Servicio]]="","",Caratula!$D$17)</f>
        <v/>
      </c>
      <c r="D115" s="38" t="str">
        <f>IF(ISBLANK(Table1[[#This Row],[Tipo de Servicio]]),"",Caratula!$D$16)</f>
        <v/>
      </c>
      <c r="F115" t="str">
        <f>_xlfn.XLOOKUP(Table1[[#This Row],[SelGZ]]&amp;Table1[[#This Row],[Tipo de Servicio]],CatPEP!A:A,CatPEP!C:C,"")</f>
        <v/>
      </c>
      <c r="G115" t="str">
        <f>_xlfn.XLOOKUP(Table1[[#This Row],[PEP]],CatPEP!C:C,CatPEP!D:D,"")</f>
        <v/>
      </c>
      <c r="O115" s="53">
        <f>SUMIF('Registro Refacciones'!B:B, I115, 'Registro Refacciones'!I:I)</f>
        <v>0</v>
      </c>
      <c r="P115" s="26">
        <f>Table1[[#This Row],[Costo Servicio]]+Table1[[#This Row],[Refacciones]]</f>
        <v>0</v>
      </c>
      <c r="Q115" s="26"/>
    </row>
    <row r="116" spans="1:17">
      <c r="A116" s="37" t="str">
        <f>IF(Table1[[#This Row],[Tipo de Servicio]]="","",Caratula!$D$15)</f>
        <v/>
      </c>
      <c r="B116" s="37" t="str">
        <f>IF(Table1[[#This Row],[Tipo de Servicio]]="","",Caratula!$D$16)</f>
        <v/>
      </c>
      <c r="C116" s="24" t="str">
        <f>IF(Table1[[#This Row],[Tipo de Servicio]]="","",Caratula!$D$17)</f>
        <v/>
      </c>
      <c r="D116" s="38" t="str">
        <f>IF(ISBLANK(Table1[[#This Row],[Tipo de Servicio]]),"",Caratula!$D$16)</f>
        <v/>
      </c>
      <c r="F116" t="str">
        <f>_xlfn.XLOOKUP(Table1[[#This Row],[SelGZ]]&amp;Table1[[#This Row],[Tipo de Servicio]],CatPEP!A:A,CatPEP!C:C,"")</f>
        <v/>
      </c>
      <c r="G116" t="str">
        <f>_xlfn.XLOOKUP(Table1[[#This Row],[PEP]],CatPEP!C:C,CatPEP!D:D,"")</f>
        <v/>
      </c>
      <c r="O116" s="53">
        <f>SUMIF('Registro Refacciones'!B:B, I116, 'Registro Refacciones'!I:I)</f>
        <v>0</v>
      </c>
      <c r="P116" s="26">
        <f>Table1[[#This Row],[Costo Servicio]]+Table1[[#This Row],[Refacciones]]</f>
        <v>0</v>
      </c>
      <c r="Q116" s="26"/>
    </row>
    <row r="117" spans="1:17">
      <c r="A117" s="37" t="str">
        <f>IF(Table1[[#This Row],[Tipo de Servicio]]="","",Caratula!$D$15)</f>
        <v/>
      </c>
      <c r="B117" s="37" t="str">
        <f>IF(Table1[[#This Row],[Tipo de Servicio]]="","",Caratula!$D$16)</f>
        <v/>
      </c>
      <c r="C117" s="24" t="str">
        <f>IF(Table1[[#This Row],[Tipo de Servicio]]="","",Caratula!$D$17)</f>
        <v/>
      </c>
      <c r="D117" s="38" t="str">
        <f>IF(ISBLANK(Table1[[#This Row],[Tipo de Servicio]]),"",Caratula!$D$16)</f>
        <v/>
      </c>
      <c r="F117" t="str">
        <f>_xlfn.XLOOKUP(Table1[[#This Row],[SelGZ]]&amp;Table1[[#This Row],[Tipo de Servicio]],CatPEP!A:A,CatPEP!C:C,"")</f>
        <v/>
      </c>
      <c r="G117" t="str">
        <f>_xlfn.XLOOKUP(Table1[[#This Row],[PEP]],CatPEP!C:C,CatPEP!D:D,"")</f>
        <v/>
      </c>
      <c r="O117" s="53">
        <f>SUMIF('Registro Refacciones'!B:B, I117, 'Registro Refacciones'!I:I)</f>
        <v>0</v>
      </c>
      <c r="P117" s="26">
        <f>Table1[[#This Row],[Costo Servicio]]+Table1[[#This Row],[Refacciones]]</f>
        <v>0</v>
      </c>
      <c r="Q117" s="26"/>
    </row>
    <row r="118" spans="1:17">
      <c r="A118" s="37" t="str">
        <f>IF(Table1[[#This Row],[Tipo de Servicio]]="","",Caratula!$D$15)</f>
        <v/>
      </c>
      <c r="B118" s="37" t="str">
        <f>IF(Table1[[#This Row],[Tipo de Servicio]]="","",Caratula!$D$16)</f>
        <v/>
      </c>
      <c r="C118" s="24" t="str">
        <f>IF(Table1[[#This Row],[Tipo de Servicio]]="","",Caratula!$D$17)</f>
        <v/>
      </c>
      <c r="D118" s="38" t="str">
        <f>IF(ISBLANK(Table1[[#This Row],[Tipo de Servicio]]),"",Caratula!$D$16)</f>
        <v/>
      </c>
      <c r="F118" t="str">
        <f>_xlfn.XLOOKUP(Table1[[#This Row],[SelGZ]]&amp;Table1[[#This Row],[Tipo de Servicio]],CatPEP!A:A,CatPEP!C:C,"")</f>
        <v/>
      </c>
      <c r="G118" t="str">
        <f>_xlfn.XLOOKUP(Table1[[#This Row],[PEP]],CatPEP!C:C,CatPEP!D:D,"")</f>
        <v/>
      </c>
      <c r="O118" s="53">
        <f>SUMIF('Registro Refacciones'!B:B, I118, 'Registro Refacciones'!I:I)</f>
        <v>0</v>
      </c>
      <c r="P118" s="26">
        <f>Table1[[#This Row],[Costo Servicio]]+Table1[[#This Row],[Refacciones]]</f>
        <v>0</v>
      </c>
      <c r="Q118" s="26"/>
    </row>
    <row r="119" spans="1:17">
      <c r="A119" s="37" t="str">
        <f>IF(Table1[[#This Row],[Tipo de Servicio]]="","",Caratula!$D$15)</f>
        <v/>
      </c>
      <c r="B119" s="37" t="str">
        <f>IF(Table1[[#This Row],[Tipo de Servicio]]="","",Caratula!$D$16)</f>
        <v/>
      </c>
      <c r="C119" s="24" t="str">
        <f>IF(Table1[[#This Row],[Tipo de Servicio]]="","",Caratula!$D$17)</f>
        <v/>
      </c>
      <c r="D119" s="38" t="str">
        <f>IF(ISBLANK(Table1[[#This Row],[Tipo de Servicio]]),"",Caratula!$D$16)</f>
        <v/>
      </c>
      <c r="F119" t="str">
        <f>_xlfn.XLOOKUP(Table1[[#This Row],[SelGZ]]&amp;Table1[[#This Row],[Tipo de Servicio]],CatPEP!A:A,CatPEP!C:C,"")</f>
        <v/>
      </c>
      <c r="G119" t="str">
        <f>_xlfn.XLOOKUP(Table1[[#This Row],[PEP]],CatPEP!C:C,CatPEP!D:D,"")</f>
        <v/>
      </c>
      <c r="O119" s="53">
        <f>SUMIF('Registro Refacciones'!B:B, I119, 'Registro Refacciones'!I:I)</f>
        <v>0</v>
      </c>
      <c r="P119" s="26">
        <f>Table1[[#This Row],[Costo Servicio]]+Table1[[#This Row],[Refacciones]]</f>
        <v>0</v>
      </c>
      <c r="Q119" s="26"/>
    </row>
    <row r="120" spans="1:17">
      <c r="A120" s="37" t="str">
        <f>IF(Table1[[#This Row],[Tipo de Servicio]]="","",Caratula!$D$15)</f>
        <v/>
      </c>
      <c r="B120" s="37" t="str">
        <f>IF(Table1[[#This Row],[Tipo de Servicio]]="","",Caratula!$D$16)</f>
        <v/>
      </c>
      <c r="C120" s="24" t="str">
        <f>IF(Table1[[#This Row],[Tipo de Servicio]]="","",Caratula!$D$17)</f>
        <v/>
      </c>
      <c r="D120" s="38" t="str">
        <f>IF(ISBLANK(Table1[[#This Row],[Tipo de Servicio]]),"",Caratula!$D$16)</f>
        <v/>
      </c>
      <c r="F120" t="str">
        <f>_xlfn.XLOOKUP(Table1[[#This Row],[SelGZ]]&amp;Table1[[#This Row],[Tipo de Servicio]],CatPEP!A:A,CatPEP!C:C,"")</f>
        <v/>
      </c>
      <c r="G120" t="str">
        <f>_xlfn.XLOOKUP(Table1[[#This Row],[PEP]],CatPEP!C:C,CatPEP!D:D,"")</f>
        <v/>
      </c>
      <c r="O120" s="53">
        <f>SUMIF('Registro Refacciones'!B:B, I120, 'Registro Refacciones'!I:I)</f>
        <v>0</v>
      </c>
      <c r="P120" s="26">
        <f>Table1[[#This Row],[Costo Servicio]]+Table1[[#This Row],[Refacciones]]</f>
        <v>0</v>
      </c>
      <c r="Q120" s="26"/>
    </row>
    <row r="121" spans="1:17">
      <c r="A121" s="37" t="str">
        <f>IF(Table1[[#This Row],[Tipo de Servicio]]="","",Caratula!$D$15)</f>
        <v/>
      </c>
      <c r="B121" s="37" t="str">
        <f>IF(Table1[[#This Row],[Tipo de Servicio]]="","",Caratula!$D$16)</f>
        <v/>
      </c>
      <c r="C121" s="24" t="str">
        <f>IF(Table1[[#This Row],[Tipo de Servicio]]="","",Caratula!$D$17)</f>
        <v/>
      </c>
      <c r="D121" s="38" t="str">
        <f>IF(ISBLANK(Table1[[#This Row],[Tipo de Servicio]]),"",Caratula!$D$16)</f>
        <v/>
      </c>
      <c r="F121" t="str">
        <f>_xlfn.XLOOKUP(Table1[[#This Row],[SelGZ]]&amp;Table1[[#This Row],[Tipo de Servicio]],CatPEP!A:A,CatPEP!C:C,"")</f>
        <v/>
      </c>
      <c r="G121" t="str">
        <f>_xlfn.XLOOKUP(Table1[[#This Row],[PEP]],CatPEP!C:C,CatPEP!D:D,"")</f>
        <v/>
      </c>
      <c r="O121" s="53">
        <f>SUMIF('Registro Refacciones'!B:B, I121, 'Registro Refacciones'!I:I)</f>
        <v>0</v>
      </c>
      <c r="P121" s="26">
        <f>Table1[[#This Row],[Costo Servicio]]+Table1[[#This Row],[Refacciones]]</f>
        <v>0</v>
      </c>
      <c r="Q121" s="26"/>
    </row>
    <row r="122" spans="1:17">
      <c r="A122" s="37" t="str">
        <f>IF(Table1[[#This Row],[Tipo de Servicio]]="","",Caratula!$D$15)</f>
        <v/>
      </c>
      <c r="B122" s="37" t="str">
        <f>IF(Table1[[#This Row],[Tipo de Servicio]]="","",Caratula!$D$16)</f>
        <v/>
      </c>
      <c r="C122" s="24" t="str">
        <f>IF(Table1[[#This Row],[Tipo de Servicio]]="","",Caratula!$D$17)</f>
        <v/>
      </c>
      <c r="D122" s="38" t="str">
        <f>IF(ISBLANK(Table1[[#This Row],[Tipo de Servicio]]),"",Caratula!$D$16)</f>
        <v/>
      </c>
      <c r="F122" t="str">
        <f>_xlfn.XLOOKUP(Table1[[#This Row],[SelGZ]]&amp;Table1[[#This Row],[Tipo de Servicio]],CatPEP!A:A,CatPEP!C:C,"")</f>
        <v/>
      </c>
      <c r="G122" t="str">
        <f>_xlfn.XLOOKUP(Table1[[#This Row],[PEP]],CatPEP!C:C,CatPEP!D:D,"")</f>
        <v/>
      </c>
      <c r="O122" s="53">
        <f>SUMIF('Registro Refacciones'!B:B, I122, 'Registro Refacciones'!I:I)</f>
        <v>0</v>
      </c>
      <c r="P122" s="26">
        <f>Table1[[#This Row],[Costo Servicio]]+Table1[[#This Row],[Refacciones]]</f>
        <v>0</v>
      </c>
      <c r="Q122" s="26"/>
    </row>
    <row r="123" spans="1:17">
      <c r="A123" s="37" t="str">
        <f>IF(Table1[[#This Row],[Tipo de Servicio]]="","",Caratula!$D$15)</f>
        <v/>
      </c>
      <c r="B123" s="37" t="str">
        <f>IF(Table1[[#This Row],[Tipo de Servicio]]="","",Caratula!$D$16)</f>
        <v/>
      </c>
      <c r="C123" s="24" t="str">
        <f>IF(Table1[[#This Row],[Tipo de Servicio]]="","",Caratula!$D$17)</f>
        <v/>
      </c>
      <c r="D123" s="38" t="str">
        <f>IF(ISBLANK(Table1[[#This Row],[Tipo de Servicio]]),"",Caratula!$D$16)</f>
        <v/>
      </c>
      <c r="F123" t="str">
        <f>_xlfn.XLOOKUP(Table1[[#This Row],[SelGZ]]&amp;Table1[[#This Row],[Tipo de Servicio]],CatPEP!A:A,CatPEP!C:C,"")</f>
        <v/>
      </c>
      <c r="G123" t="str">
        <f>_xlfn.XLOOKUP(Table1[[#This Row],[PEP]],CatPEP!C:C,CatPEP!D:D,"")</f>
        <v/>
      </c>
      <c r="O123" s="53">
        <f>SUMIF('Registro Refacciones'!B:B, I123, 'Registro Refacciones'!I:I)</f>
        <v>0</v>
      </c>
      <c r="P123" s="26">
        <f>Table1[[#This Row],[Costo Servicio]]+Table1[[#This Row],[Refacciones]]</f>
        <v>0</v>
      </c>
      <c r="Q123" s="26"/>
    </row>
    <row r="124" spans="1:17">
      <c r="A124" s="37" t="str">
        <f>IF(Table1[[#This Row],[Tipo de Servicio]]="","",Caratula!$D$15)</f>
        <v/>
      </c>
      <c r="B124" s="37" t="str">
        <f>IF(Table1[[#This Row],[Tipo de Servicio]]="","",Caratula!$D$16)</f>
        <v/>
      </c>
      <c r="C124" s="24" t="str">
        <f>IF(Table1[[#This Row],[Tipo de Servicio]]="","",Caratula!$D$17)</f>
        <v/>
      </c>
      <c r="D124" s="38" t="str">
        <f>IF(ISBLANK(Table1[[#This Row],[Tipo de Servicio]]),"",Caratula!$D$16)</f>
        <v/>
      </c>
      <c r="F124" t="str">
        <f>_xlfn.XLOOKUP(Table1[[#This Row],[SelGZ]]&amp;Table1[[#This Row],[Tipo de Servicio]],CatPEP!A:A,CatPEP!C:C,"")</f>
        <v/>
      </c>
      <c r="G124" t="str">
        <f>_xlfn.XLOOKUP(Table1[[#This Row],[PEP]],CatPEP!C:C,CatPEP!D:D,"")</f>
        <v/>
      </c>
      <c r="O124" s="53">
        <f>SUMIF('Registro Refacciones'!B:B, I124, 'Registro Refacciones'!I:I)</f>
        <v>0</v>
      </c>
      <c r="P124" s="26">
        <f>Table1[[#This Row],[Costo Servicio]]+Table1[[#This Row],[Refacciones]]</f>
        <v>0</v>
      </c>
      <c r="Q124" s="26"/>
    </row>
    <row r="125" spans="1:17">
      <c r="A125" s="37" t="str">
        <f>IF(Table1[[#This Row],[Tipo de Servicio]]="","",Caratula!$D$15)</f>
        <v/>
      </c>
      <c r="B125" s="37" t="str">
        <f>IF(Table1[[#This Row],[Tipo de Servicio]]="","",Caratula!$D$16)</f>
        <v/>
      </c>
      <c r="C125" s="24" t="str">
        <f>IF(Table1[[#This Row],[Tipo de Servicio]]="","",Caratula!$D$17)</f>
        <v/>
      </c>
      <c r="D125" s="38" t="str">
        <f>IF(ISBLANK(Table1[[#This Row],[Tipo de Servicio]]),"",Caratula!$D$16)</f>
        <v/>
      </c>
      <c r="F125" t="str">
        <f>_xlfn.XLOOKUP(Table1[[#This Row],[SelGZ]]&amp;Table1[[#This Row],[Tipo de Servicio]],CatPEP!A:A,CatPEP!C:C,"")</f>
        <v/>
      </c>
      <c r="G125" t="str">
        <f>_xlfn.XLOOKUP(Table1[[#This Row],[PEP]],CatPEP!C:C,CatPEP!D:D,"")</f>
        <v/>
      </c>
      <c r="O125" s="53">
        <f>SUMIF('Registro Refacciones'!B:B, I125, 'Registro Refacciones'!I:I)</f>
        <v>0</v>
      </c>
      <c r="P125" s="26">
        <f>Table1[[#This Row],[Costo Servicio]]+Table1[[#This Row],[Refacciones]]</f>
        <v>0</v>
      </c>
      <c r="Q125" s="26"/>
    </row>
    <row r="126" spans="1:17">
      <c r="A126" s="37" t="str">
        <f>IF(Table1[[#This Row],[Tipo de Servicio]]="","",Caratula!$D$15)</f>
        <v/>
      </c>
      <c r="B126" s="37" t="str">
        <f>IF(Table1[[#This Row],[Tipo de Servicio]]="","",Caratula!$D$16)</f>
        <v/>
      </c>
      <c r="C126" s="24" t="str">
        <f>IF(Table1[[#This Row],[Tipo de Servicio]]="","",Caratula!$D$17)</f>
        <v/>
      </c>
      <c r="D126" s="38" t="str">
        <f>IF(ISBLANK(Table1[[#This Row],[Tipo de Servicio]]),"",Caratula!$D$16)</f>
        <v/>
      </c>
      <c r="F126" t="str">
        <f>_xlfn.XLOOKUP(Table1[[#This Row],[SelGZ]]&amp;Table1[[#This Row],[Tipo de Servicio]],CatPEP!A:A,CatPEP!C:C,"")</f>
        <v/>
      </c>
      <c r="G126" t="str">
        <f>_xlfn.XLOOKUP(Table1[[#This Row],[PEP]],CatPEP!C:C,CatPEP!D:D,"")</f>
        <v/>
      </c>
      <c r="O126" s="53">
        <f>SUMIF('Registro Refacciones'!B:B, I126, 'Registro Refacciones'!I:I)</f>
        <v>0</v>
      </c>
      <c r="P126" s="26">
        <f>Table1[[#This Row],[Costo Servicio]]+Table1[[#This Row],[Refacciones]]</f>
        <v>0</v>
      </c>
      <c r="Q126" s="26"/>
    </row>
    <row r="127" spans="1:17">
      <c r="A127" s="37" t="str">
        <f>IF(Table1[[#This Row],[Tipo de Servicio]]="","",Caratula!$D$15)</f>
        <v/>
      </c>
      <c r="B127" s="37" t="str">
        <f>IF(Table1[[#This Row],[Tipo de Servicio]]="","",Caratula!$D$16)</f>
        <v/>
      </c>
      <c r="C127" s="24" t="str">
        <f>IF(Table1[[#This Row],[Tipo de Servicio]]="","",Caratula!$D$17)</f>
        <v/>
      </c>
      <c r="D127" s="38" t="str">
        <f>IF(ISBLANK(Table1[[#This Row],[Tipo de Servicio]]),"",Caratula!$D$16)</f>
        <v/>
      </c>
      <c r="F127" t="str">
        <f>_xlfn.XLOOKUP(Table1[[#This Row],[SelGZ]]&amp;Table1[[#This Row],[Tipo de Servicio]],CatPEP!A:A,CatPEP!C:C,"")</f>
        <v/>
      </c>
      <c r="G127" t="str">
        <f>_xlfn.XLOOKUP(Table1[[#This Row],[PEP]],CatPEP!C:C,CatPEP!D:D,"")</f>
        <v/>
      </c>
      <c r="O127" s="53">
        <f>SUMIF('Registro Refacciones'!B:B, I127, 'Registro Refacciones'!I:I)</f>
        <v>0</v>
      </c>
      <c r="P127" s="26">
        <f>Table1[[#This Row],[Costo Servicio]]+Table1[[#This Row],[Refacciones]]</f>
        <v>0</v>
      </c>
      <c r="Q127" s="26"/>
    </row>
    <row r="128" spans="1:17">
      <c r="A128" s="37" t="str">
        <f>IF(Table1[[#This Row],[Tipo de Servicio]]="","",Caratula!$D$15)</f>
        <v/>
      </c>
      <c r="B128" s="37" t="str">
        <f>IF(Table1[[#This Row],[Tipo de Servicio]]="","",Caratula!$D$16)</f>
        <v/>
      </c>
      <c r="C128" s="24" t="str">
        <f>IF(Table1[[#This Row],[Tipo de Servicio]]="","",Caratula!$D$17)</f>
        <v/>
      </c>
      <c r="D128" s="38" t="str">
        <f>IF(ISBLANK(Table1[[#This Row],[Tipo de Servicio]]),"",Caratula!$D$16)</f>
        <v/>
      </c>
      <c r="F128" t="str">
        <f>_xlfn.XLOOKUP(Table1[[#This Row],[SelGZ]]&amp;Table1[[#This Row],[Tipo de Servicio]],CatPEP!A:A,CatPEP!C:C,"")</f>
        <v/>
      </c>
      <c r="G128" t="str">
        <f>_xlfn.XLOOKUP(Table1[[#This Row],[PEP]],CatPEP!C:C,CatPEP!D:D,"")</f>
        <v/>
      </c>
      <c r="O128" s="53">
        <f>SUMIF('Registro Refacciones'!B:B, I128, 'Registro Refacciones'!I:I)</f>
        <v>0</v>
      </c>
      <c r="P128" s="26">
        <f>Table1[[#This Row],[Costo Servicio]]+Table1[[#This Row],[Refacciones]]</f>
        <v>0</v>
      </c>
      <c r="Q128" s="26"/>
    </row>
    <row r="129" spans="1:17">
      <c r="A129" s="37" t="str">
        <f>IF(Table1[[#This Row],[Tipo de Servicio]]="","",Caratula!$D$15)</f>
        <v/>
      </c>
      <c r="B129" s="37" t="str">
        <f>IF(Table1[[#This Row],[Tipo de Servicio]]="","",Caratula!$D$16)</f>
        <v/>
      </c>
      <c r="C129" s="24" t="str">
        <f>IF(Table1[[#This Row],[Tipo de Servicio]]="","",Caratula!$D$17)</f>
        <v/>
      </c>
      <c r="D129" s="38" t="str">
        <f>IF(ISBLANK(Table1[[#This Row],[Tipo de Servicio]]),"",Caratula!$D$16)</f>
        <v/>
      </c>
      <c r="F129" t="str">
        <f>_xlfn.XLOOKUP(Table1[[#This Row],[SelGZ]]&amp;Table1[[#This Row],[Tipo de Servicio]],CatPEP!A:A,CatPEP!C:C,"")</f>
        <v/>
      </c>
      <c r="G129" t="str">
        <f>_xlfn.XLOOKUP(Table1[[#This Row],[PEP]],CatPEP!C:C,CatPEP!D:D,"")</f>
        <v/>
      </c>
      <c r="O129" s="53">
        <f>SUMIF('Registro Refacciones'!B:B, I129, 'Registro Refacciones'!I:I)</f>
        <v>0</v>
      </c>
      <c r="P129" s="26">
        <f>Table1[[#This Row],[Costo Servicio]]+Table1[[#This Row],[Refacciones]]</f>
        <v>0</v>
      </c>
      <c r="Q129" s="26"/>
    </row>
    <row r="130" spans="1:17">
      <c r="A130" s="37" t="str">
        <f>IF(Table1[[#This Row],[Tipo de Servicio]]="","",Caratula!$D$15)</f>
        <v/>
      </c>
      <c r="B130" s="37" t="str">
        <f>IF(Table1[[#This Row],[Tipo de Servicio]]="","",Caratula!$D$16)</f>
        <v/>
      </c>
      <c r="C130" s="24" t="str">
        <f>IF(Table1[[#This Row],[Tipo de Servicio]]="","",Caratula!$D$17)</f>
        <v/>
      </c>
      <c r="D130" s="38" t="str">
        <f>IF(ISBLANK(Table1[[#This Row],[Tipo de Servicio]]),"",Caratula!$D$16)</f>
        <v/>
      </c>
      <c r="F130" t="str">
        <f>_xlfn.XLOOKUP(Table1[[#This Row],[SelGZ]]&amp;Table1[[#This Row],[Tipo de Servicio]],CatPEP!A:A,CatPEP!C:C,"")</f>
        <v/>
      </c>
      <c r="G130" t="str">
        <f>_xlfn.XLOOKUP(Table1[[#This Row],[PEP]],CatPEP!C:C,CatPEP!D:D,"")</f>
        <v/>
      </c>
      <c r="O130" s="53">
        <f>SUMIF('Registro Refacciones'!B:B, I130, 'Registro Refacciones'!I:I)</f>
        <v>0</v>
      </c>
      <c r="P130" s="26">
        <f>Table1[[#This Row],[Costo Servicio]]+Table1[[#This Row],[Refacciones]]</f>
        <v>0</v>
      </c>
      <c r="Q130" s="26"/>
    </row>
    <row r="131" spans="1:17">
      <c r="A131" s="37" t="str">
        <f>IF(Table1[[#This Row],[Tipo de Servicio]]="","",Caratula!$D$15)</f>
        <v/>
      </c>
      <c r="B131" s="37" t="str">
        <f>IF(Table1[[#This Row],[Tipo de Servicio]]="","",Caratula!$D$16)</f>
        <v/>
      </c>
      <c r="C131" s="24" t="str">
        <f>IF(Table1[[#This Row],[Tipo de Servicio]]="","",Caratula!$D$17)</f>
        <v/>
      </c>
      <c r="D131" s="38" t="str">
        <f>IF(ISBLANK(Table1[[#This Row],[Tipo de Servicio]]),"",Caratula!$D$16)</f>
        <v/>
      </c>
      <c r="F131" t="str">
        <f>_xlfn.XLOOKUP(Table1[[#This Row],[SelGZ]]&amp;Table1[[#This Row],[Tipo de Servicio]],CatPEP!A:A,CatPEP!C:C,"")</f>
        <v/>
      </c>
      <c r="G131" t="str">
        <f>_xlfn.XLOOKUP(Table1[[#This Row],[PEP]],CatPEP!C:C,CatPEP!D:D,"")</f>
        <v/>
      </c>
      <c r="O131" s="53">
        <f>SUMIF('Registro Refacciones'!B:B, I131, 'Registro Refacciones'!I:I)</f>
        <v>0</v>
      </c>
      <c r="P131" s="26">
        <f>Table1[[#This Row],[Costo Servicio]]+Table1[[#This Row],[Refacciones]]</f>
        <v>0</v>
      </c>
      <c r="Q131" s="26"/>
    </row>
    <row r="132" spans="1:17">
      <c r="A132" s="37" t="str">
        <f>IF(Table1[[#This Row],[Tipo de Servicio]]="","",Caratula!$D$15)</f>
        <v/>
      </c>
      <c r="B132" s="37" t="str">
        <f>IF(Table1[[#This Row],[Tipo de Servicio]]="","",Caratula!$D$16)</f>
        <v/>
      </c>
      <c r="C132" s="24" t="str">
        <f>IF(Table1[[#This Row],[Tipo de Servicio]]="","",Caratula!$D$17)</f>
        <v/>
      </c>
      <c r="D132" s="38" t="str">
        <f>IF(ISBLANK(Table1[[#This Row],[Tipo de Servicio]]),"",Caratula!$D$16)</f>
        <v/>
      </c>
      <c r="F132" t="str">
        <f>_xlfn.XLOOKUP(Table1[[#This Row],[SelGZ]]&amp;Table1[[#This Row],[Tipo de Servicio]],CatPEP!A:A,CatPEP!C:C,"")</f>
        <v/>
      </c>
      <c r="G132" t="str">
        <f>_xlfn.XLOOKUP(Table1[[#This Row],[PEP]],CatPEP!C:C,CatPEP!D:D,"")</f>
        <v/>
      </c>
      <c r="O132" s="53">
        <f>SUMIF('Registro Refacciones'!B:B, I132, 'Registro Refacciones'!I:I)</f>
        <v>0</v>
      </c>
      <c r="P132" s="26">
        <f>Table1[[#This Row],[Costo Servicio]]+Table1[[#This Row],[Refacciones]]</f>
        <v>0</v>
      </c>
      <c r="Q132" s="26"/>
    </row>
    <row r="133" spans="1:17">
      <c r="A133" s="37" t="str">
        <f>IF(Table1[[#This Row],[Tipo de Servicio]]="","",Caratula!$D$15)</f>
        <v/>
      </c>
      <c r="B133" s="37" t="str">
        <f>IF(Table1[[#This Row],[Tipo de Servicio]]="","",Caratula!$D$16)</f>
        <v/>
      </c>
      <c r="C133" s="24" t="str">
        <f>IF(Table1[[#This Row],[Tipo de Servicio]]="","",Caratula!$D$17)</f>
        <v/>
      </c>
      <c r="D133" s="38" t="str">
        <f>IF(ISBLANK(Table1[[#This Row],[Tipo de Servicio]]),"",Caratula!$D$16)</f>
        <v/>
      </c>
      <c r="F133" t="str">
        <f>_xlfn.XLOOKUP(Table1[[#This Row],[SelGZ]]&amp;Table1[[#This Row],[Tipo de Servicio]],CatPEP!A:A,CatPEP!C:C,"")</f>
        <v/>
      </c>
      <c r="G133" t="str">
        <f>_xlfn.XLOOKUP(Table1[[#This Row],[PEP]],CatPEP!C:C,CatPEP!D:D,"")</f>
        <v/>
      </c>
      <c r="O133" s="53">
        <f>SUMIF('Registro Refacciones'!B:B, I133, 'Registro Refacciones'!I:I)</f>
        <v>0</v>
      </c>
      <c r="P133" s="26">
        <f>Table1[[#This Row],[Costo Servicio]]+Table1[[#This Row],[Refacciones]]</f>
        <v>0</v>
      </c>
      <c r="Q133" s="26"/>
    </row>
    <row r="134" spans="1:17">
      <c r="A134" s="37" t="str">
        <f>IF(Table1[[#This Row],[Tipo de Servicio]]="","",Caratula!$D$15)</f>
        <v/>
      </c>
      <c r="B134" s="37" t="str">
        <f>IF(Table1[[#This Row],[Tipo de Servicio]]="","",Caratula!$D$16)</f>
        <v/>
      </c>
      <c r="C134" s="24" t="str">
        <f>IF(Table1[[#This Row],[Tipo de Servicio]]="","",Caratula!$D$17)</f>
        <v/>
      </c>
      <c r="D134" s="38" t="str">
        <f>IF(ISBLANK(Table1[[#This Row],[Tipo de Servicio]]),"",Caratula!$D$16)</f>
        <v/>
      </c>
      <c r="F134" t="str">
        <f>_xlfn.XLOOKUP(Table1[[#This Row],[SelGZ]]&amp;Table1[[#This Row],[Tipo de Servicio]],CatPEP!A:A,CatPEP!C:C,"")</f>
        <v/>
      </c>
      <c r="G134" t="str">
        <f>_xlfn.XLOOKUP(Table1[[#This Row],[PEP]],CatPEP!C:C,CatPEP!D:D,"")</f>
        <v/>
      </c>
      <c r="O134" s="53">
        <f>SUMIF('Registro Refacciones'!B:B, I134, 'Registro Refacciones'!I:I)</f>
        <v>0</v>
      </c>
      <c r="P134" s="26">
        <f>Table1[[#This Row],[Costo Servicio]]+Table1[[#This Row],[Refacciones]]</f>
        <v>0</v>
      </c>
      <c r="Q134" s="26"/>
    </row>
    <row r="135" spans="1:17">
      <c r="A135" s="37" t="str">
        <f>IF(Table1[[#This Row],[Tipo de Servicio]]="","",Caratula!$D$15)</f>
        <v/>
      </c>
      <c r="B135" s="37" t="str">
        <f>IF(Table1[[#This Row],[Tipo de Servicio]]="","",Caratula!$D$16)</f>
        <v/>
      </c>
      <c r="C135" s="24" t="str">
        <f>IF(Table1[[#This Row],[Tipo de Servicio]]="","",Caratula!$D$17)</f>
        <v/>
      </c>
      <c r="D135" s="38" t="str">
        <f>IF(ISBLANK(Table1[[#This Row],[Tipo de Servicio]]),"",Caratula!$D$16)</f>
        <v/>
      </c>
      <c r="F135" t="str">
        <f>_xlfn.XLOOKUP(Table1[[#This Row],[SelGZ]]&amp;Table1[[#This Row],[Tipo de Servicio]],CatPEP!A:A,CatPEP!C:C,"")</f>
        <v/>
      </c>
      <c r="G135" t="str">
        <f>_xlfn.XLOOKUP(Table1[[#This Row],[PEP]],CatPEP!C:C,CatPEP!D:D,"")</f>
        <v/>
      </c>
      <c r="O135" s="53">
        <f>SUMIF('Registro Refacciones'!B:B, I135, 'Registro Refacciones'!I:I)</f>
        <v>0</v>
      </c>
      <c r="P135" s="26">
        <f>Table1[[#This Row],[Costo Servicio]]+Table1[[#This Row],[Refacciones]]</f>
        <v>0</v>
      </c>
      <c r="Q135" s="26"/>
    </row>
    <row r="136" spans="1:17">
      <c r="A136" s="37" t="str">
        <f>IF(Table1[[#This Row],[Tipo de Servicio]]="","",Caratula!$D$15)</f>
        <v/>
      </c>
      <c r="B136" s="37" t="str">
        <f>IF(Table1[[#This Row],[Tipo de Servicio]]="","",Caratula!$D$16)</f>
        <v/>
      </c>
      <c r="C136" s="24" t="str">
        <f>IF(Table1[[#This Row],[Tipo de Servicio]]="","",Caratula!$D$17)</f>
        <v/>
      </c>
      <c r="D136" s="38" t="str">
        <f>IF(ISBLANK(Table1[[#This Row],[Tipo de Servicio]]),"",Caratula!$D$16)</f>
        <v/>
      </c>
      <c r="F136" t="str">
        <f>_xlfn.XLOOKUP(Table1[[#This Row],[SelGZ]]&amp;Table1[[#This Row],[Tipo de Servicio]],CatPEP!A:A,CatPEP!C:C,"")</f>
        <v/>
      </c>
      <c r="G136" t="str">
        <f>_xlfn.XLOOKUP(Table1[[#This Row],[PEP]],CatPEP!C:C,CatPEP!D:D,"")</f>
        <v/>
      </c>
      <c r="O136" s="53">
        <f>SUMIF('Registro Refacciones'!B:B, I136, 'Registro Refacciones'!I:I)</f>
        <v>0</v>
      </c>
      <c r="P136" s="26">
        <f>Table1[[#This Row],[Costo Servicio]]+Table1[[#This Row],[Refacciones]]</f>
        <v>0</v>
      </c>
      <c r="Q136" s="26"/>
    </row>
    <row r="137" spans="1:17">
      <c r="A137" s="37" t="str">
        <f>IF(Table1[[#This Row],[Tipo de Servicio]]="","",Caratula!$D$15)</f>
        <v/>
      </c>
      <c r="B137" s="37" t="str">
        <f>IF(Table1[[#This Row],[Tipo de Servicio]]="","",Caratula!$D$16)</f>
        <v/>
      </c>
      <c r="C137" s="24" t="str">
        <f>IF(Table1[[#This Row],[Tipo de Servicio]]="","",Caratula!$D$17)</f>
        <v/>
      </c>
      <c r="D137" s="38" t="str">
        <f>IF(ISBLANK(Table1[[#This Row],[Tipo de Servicio]]),"",Caratula!$D$16)</f>
        <v/>
      </c>
      <c r="F137" t="str">
        <f>_xlfn.XLOOKUP(Table1[[#This Row],[SelGZ]]&amp;Table1[[#This Row],[Tipo de Servicio]],CatPEP!A:A,CatPEP!C:C,"")</f>
        <v/>
      </c>
      <c r="G137" t="str">
        <f>_xlfn.XLOOKUP(Table1[[#This Row],[PEP]],CatPEP!C:C,CatPEP!D:D,"")</f>
        <v/>
      </c>
      <c r="O137" s="53">
        <f>SUMIF('Registro Refacciones'!B:B, I137, 'Registro Refacciones'!I:I)</f>
        <v>0</v>
      </c>
      <c r="P137" s="26">
        <f>Table1[[#This Row],[Costo Servicio]]+Table1[[#This Row],[Refacciones]]</f>
        <v>0</v>
      </c>
      <c r="Q137" s="26"/>
    </row>
    <row r="138" spans="1:17">
      <c r="A138" s="37" t="str">
        <f>IF(Table1[[#This Row],[Tipo de Servicio]]="","",Caratula!$D$15)</f>
        <v/>
      </c>
      <c r="B138" s="37" t="str">
        <f>IF(Table1[[#This Row],[Tipo de Servicio]]="","",Caratula!$D$16)</f>
        <v/>
      </c>
      <c r="C138" s="24" t="str">
        <f>IF(Table1[[#This Row],[Tipo de Servicio]]="","",Caratula!$D$17)</f>
        <v/>
      </c>
      <c r="D138" s="38" t="str">
        <f>IF(ISBLANK(Table1[[#This Row],[Tipo de Servicio]]),"",Caratula!$D$16)</f>
        <v/>
      </c>
      <c r="F138" t="str">
        <f>_xlfn.XLOOKUP(Table1[[#This Row],[SelGZ]]&amp;Table1[[#This Row],[Tipo de Servicio]],CatPEP!A:A,CatPEP!C:C,"")</f>
        <v/>
      </c>
      <c r="G138" t="str">
        <f>_xlfn.XLOOKUP(Table1[[#This Row],[PEP]],CatPEP!C:C,CatPEP!D:D,"")</f>
        <v/>
      </c>
      <c r="O138" s="53">
        <f>SUMIF('Registro Refacciones'!B:B, I138, 'Registro Refacciones'!I:I)</f>
        <v>0</v>
      </c>
      <c r="P138" s="26">
        <f>Table1[[#This Row],[Costo Servicio]]+Table1[[#This Row],[Refacciones]]</f>
        <v>0</v>
      </c>
      <c r="Q138" s="26"/>
    </row>
    <row r="139" spans="1:17">
      <c r="A139" s="37" t="str">
        <f>IF(Table1[[#This Row],[Tipo de Servicio]]="","",Caratula!$D$15)</f>
        <v/>
      </c>
      <c r="B139" s="37" t="str">
        <f>IF(Table1[[#This Row],[Tipo de Servicio]]="","",Caratula!$D$16)</f>
        <v/>
      </c>
      <c r="C139" s="24" t="str">
        <f>IF(Table1[[#This Row],[Tipo de Servicio]]="","",Caratula!$D$17)</f>
        <v/>
      </c>
      <c r="D139" s="38" t="str">
        <f>IF(ISBLANK(Table1[[#This Row],[Tipo de Servicio]]),"",Caratula!$D$16)</f>
        <v/>
      </c>
      <c r="F139" t="str">
        <f>_xlfn.XLOOKUP(Table1[[#This Row],[SelGZ]]&amp;Table1[[#This Row],[Tipo de Servicio]],CatPEP!A:A,CatPEP!C:C,"")</f>
        <v/>
      </c>
      <c r="G139" t="str">
        <f>_xlfn.XLOOKUP(Table1[[#This Row],[PEP]],CatPEP!C:C,CatPEP!D:D,"")</f>
        <v/>
      </c>
      <c r="O139" s="53">
        <f>SUMIF('Registro Refacciones'!B:B, I139, 'Registro Refacciones'!I:I)</f>
        <v>0</v>
      </c>
      <c r="P139" s="26">
        <f>Table1[[#This Row],[Costo Servicio]]+Table1[[#This Row],[Refacciones]]</f>
        <v>0</v>
      </c>
      <c r="Q139" s="26"/>
    </row>
    <row r="140" spans="1:17">
      <c r="A140" s="37" t="str">
        <f>IF(Table1[[#This Row],[Tipo de Servicio]]="","",Caratula!$D$15)</f>
        <v/>
      </c>
      <c r="B140" s="37" t="str">
        <f>IF(Table1[[#This Row],[Tipo de Servicio]]="","",Caratula!$D$16)</f>
        <v/>
      </c>
      <c r="C140" s="24" t="str">
        <f>IF(Table1[[#This Row],[Tipo de Servicio]]="","",Caratula!$D$17)</f>
        <v/>
      </c>
      <c r="D140" s="38" t="str">
        <f>IF(ISBLANK(Table1[[#This Row],[Tipo de Servicio]]),"",Caratula!$D$16)</f>
        <v/>
      </c>
      <c r="F140" t="str">
        <f>_xlfn.XLOOKUP(Table1[[#This Row],[SelGZ]]&amp;Table1[[#This Row],[Tipo de Servicio]],CatPEP!A:A,CatPEP!C:C,"")</f>
        <v/>
      </c>
      <c r="G140" t="str">
        <f>_xlfn.XLOOKUP(Table1[[#This Row],[PEP]],CatPEP!C:C,CatPEP!D:D,"")</f>
        <v/>
      </c>
      <c r="O140" s="53">
        <f>SUMIF('Registro Refacciones'!B:B, I140, 'Registro Refacciones'!I:I)</f>
        <v>0</v>
      </c>
      <c r="P140" s="26">
        <f>Table1[[#This Row],[Costo Servicio]]+Table1[[#This Row],[Refacciones]]</f>
        <v>0</v>
      </c>
      <c r="Q140" s="26"/>
    </row>
    <row r="141" spans="1:17">
      <c r="A141" s="37" t="str">
        <f>IF(Table1[[#This Row],[Tipo de Servicio]]="","",Caratula!$D$15)</f>
        <v/>
      </c>
      <c r="B141" s="37" t="str">
        <f>IF(Table1[[#This Row],[Tipo de Servicio]]="","",Caratula!$D$16)</f>
        <v/>
      </c>
      <c r="C141" s="24" t="str">
        <f>IF(Table1[[#This Row],[Tipo de Servicio]]="","",Caratula!$D$17)</f>
        <v/>
      </c>
      <c r="D141" s="38" t="str">
        <f>IF(ISBLANK(Table1[[#This Row],[Tipo de Servicio]]),"",Caratula!$D$16)</f>
        <v/>
      </c>
      <c r="F141" t="str">
        <f>_xlfn.XLOOKUP(Table1[[#This Row],[SelGZ]]&amp;Table1[[#This Row],[Tipo de Servicio]],CatPEP!A:A,CatPEP!C:C,"")</f>
        <v/>
      </c>
      <c r="G141" t="str">
        <f>_xlfn.XLOOKUP(Table1[[#This Row],[PEP]],CatPEP!C:C,CatPEP!D:D,"")</f>
        <v/>
      </c>
      <c r="O141" s="53">
        <f>SUMIF('Registro Refacciones'!B:B, I141, 'Registro Refacciones'!I:I)</f>
        <v>0</v>
      </c>
      <c r="P141" s="26">
        <f>Table1[[#This Row],[Costo Servicio]]+Table1[[#This Row],[Refacciones]]</f>
        <v>0</v>
      </c>
      <c r="Q141" s="26"/>
    </row>
    <row r="142" spans="1:17">
      <c r="A142" s="37" t="str">
        <f>IF(Table1[[#This Row],[Tipo de Servicio]]="","",Caratula!$D$15)</f>
        <v/>
      </c>
      <c r="B142" s="37" t="str">
        <f>IF(Table1[[#This Row],[Tipo de Servicio]]="","",Caratula!$D$16)</f>
        <v/>
      </c>
      <c r="C142" s="24" t="str">
        <f>IF(Table1[[#This Row],[Tipo de Servicio]]="","",Caratula!$D$17)</f>
        <v/>
      </c>
      <c r="D142" s="38" t="str">
        <f>IF(ISBLANK(Table1[[#This Row],[Tipo de Servicio]]),"",Caratula!$D$16)</f>
        <v/>
      </c>
      <c r="F142" t="str">
        <f>_xlfn.XLOOKUP(Table1[[#This Row],[SelGZ]]&amp;Table1[[#This Row],[Tipo de Servicio]],CatPEP!A:A,CatPEP!C:C,"")</f>
        <v/>
      </c>
      <c r="G142" t="str">
        <f>_xlfn.XLOOKUP(Table1[[#This Row],[PEP]],CatPEP!C:C,CatPEP!D:D,"")</f>
        <v/>
      </c>
      <c r="O142" s="53">
        <f>SUMIF('Registro Refacciones'!B:B, I142, 'Registro Refacciones'!I:I)</f>
        <v>0</v>
      </c>
      <c r="P142" s="26">
        <f>Table1[[#This Row],[Costo Servicio]]+Table1[[#This Row],[Refacciones]]</f>
        <v>0</v>
      </c>
      <c r="Q142" s="26"/>
    </row>
    <row r="143" spans="1:17">
      <c r="A143" s="37" t="str">
        <f>IF(Table1[[#This Row],[Tipo de Servicio]]="","",Caratula!$D$15)</f>
        <v/>
      </c>
      <c r="B143" s="37" t="str">
        <f>IF(Table1[[#This Row],[Tipo de Servicio]]="","",Caratula!$D$16)</f>
        <v/>
      </c>
      <c r="C143" s="24" t="str">
        <f>IF(Table1[[#This Row],[Tipo de Servicio]]="","",Caratula!$D$17)</f>
        <v/>
      </c>
      <c r="D143" s="38" t="str">
        <f>IF(ISBLANK(Table1[[#This Row],[Tipo de Servicio]]),"",Caratula!$D$16)</f>
        <v/>
      </c>
      <c r="F143" t="str">
        <f>_xlfn.XLOOKUP(Table1[[#This Row],[SelGZ]]&amp;Table1[[#This Row],[Tipo de Servicio]],CatPEP!A:A,CatPEP!C:C,"")</f>
        <v/>
      </c>
      <c r="G143" t="str">
        <f>_xlfn.XLOOKUP(Table1[[#This Row],[PEP]],CatPEP!C:C,CatPEP!D:D,"")</f>
        <v/>
      </c>
      <c r="O143" s="53">
        <f>SUMIF('Registro Refacciones'!B:B, I143, 'Registro Refacciones'!I:I)</f>
        <v>0</v>
      </c>
      <c r="P143" s="26">
        <f>Table1[[#This Row],[Costo Servicio]]+Table1[[#This Row],[Refacciones]]</f>
        <v>0</v>
      </c>
      <c r="Q143" s="26"/>
    </row>
    <row r="144" spans="1:17">
      <c r="A144" s="37" t="str">
        <f>IF(Table1[[#This Row],[Tipo de Servicio]]="","",Caratula!$D$15)</f>
        <v/>
      </c>
      <c r="B144" s="37" t="str">
        <f>IF(Table1[[#This Row],[Tipo de Servicio]]="","",Caratula!$D$16)</f>
        <v/>
      </c>
      <c r="C144" s="24" t="str">
        <f>IF(Table1[[#This Row],[Tipo de Servicio]]="","",Caratula!$D$17)</f>
        <v/>
      </c>
      <c r="D144" s="38" t="str">
        <f>IF(ISBLANK(Table1[[#This Row],[Tipo de Servicio]]),"",Caratula!$D$16)</f>
        <v/>
      </c>
      <c r="F144" t="str">
        <f>_xlfn.XLOOKUP(Table1[[#This Row],[SelGZ]]&amp;Table1[[#This Row],[Tipo de Servicio]],CatPEP!A:A,CatPEP!C:C,"")</f>
        <v/>
      </c>
      <c r="G144" t="str">
        <f>_xlfn.XLOOKUP(Table1[[#This Row],[PEP]],CatPEP!C:C,CatPEP!D:D,"")</f>
        <v/>
      </c>
      <c r="O144" s="53">
        <f>SUMIF('Registro Refacciones'!B:B, I144, 'Registro Refacciones'!I:I)</f>
        <v>0</v>
      </c>
      <c r="P144" s="26">
        <f>Table1[[#This Row],[Costo Servicio]]+Table1[[#This Row],[Refacciones]]</f>
        <v>0</v>
      </c>
      <c r="Q144" s="26"/>
    </row>
    <row r="145" spans="1:17">
      <c r="A145" s="37" t="str">
        <f>IF(Table1[[#This Row],[Tipo de Servicio]]="","",Caratula!$D$15)</f>
        <v/>
      </c>
      <c r="B145" s="37" t="str">
        <f>IF(Table1[[#This Row],[Tipo de Servicio]]="","",Caratula!$D$16)</f>
        <v/>
      </c>
      <c r="C145" s="24" t="str">
        <f>IF(Table1[[#This Row],[Tipo de Servicio]]="","",Caratula!$D$17)</f>
        <v/>
      </c>
      <c r="D145" s="38" t="str">
        <f>IF(ISBLANK(Table1[[#This Row],[Tipo de Servicio]]),"",Caratula!$D$16)</f>
        <v/>
      </c>
      <c r="F145" t="str">
        <f>_xlfn.XLOOKUP(Table1[[#This Row],[SelGZ]]&amp;Table1[[#This Row],[Tipo de Servicio]],CatPEP!A:A,CatPEP!C:C,"")</f>
        <v/>
      </c>
      <c r="G145" t="str">
        <f>_xlfn.XLOOKUP(Table1[[#This Row],[PEP]],CatPEP!C:C,CatPEP!D:D,"")</f>
        <v/>
      </c>
      <c r="O145" s="53">
        <f>SUMIF('Registro Refacciones'!B:B, I145, 'Registro Refacciones'!I:I)</f>
        <v>0</v>
      </c>
      <c r="P145" s="26">
        <f>Table1[[#This Row],[Costo Servicio]]+Table1[[#This Row],[Refacciones]]</f>
        <v>0</v>
      </c>
      <c r="Q145" s="26"/>
    </row>
    <row r="146" spans="1:17">
      <c r="A146" s="37" t="str">
        <f>IF(Table1[[#This Row],[Tipo de Servicio]]="","",Caratula!$D$15)</f>
        <v/>
      </c>
      <c r="B146" s="37" t="str">
        <f>IF(Table1[[#This Row],[Tipo de Servicio]]="","",Caratula!$D$16)</f>
        <v/>
      </c>
      <c r="C146" s="24" t="str">
        <f>IF(Table1[[#This Row],[Tipo de Servicio]]="","",Caratula!$D$17)</f>
        <v/>
      </c>
      <c r="D146" s="38" t="str">
        <f>IF(ISBLANK(Table1[[#This Row],[Tipo de Servicio]]),"",Caratula!$D$16)</f>
        <v/>
      </c>
      <c r="F146" t="str">
        <f>_xlfn.XLOOKUP(Table1[[#This Row],[SelGZ]]&amp;Table1[[#This Row],[Tipo de Servicio]],CatPEP!A:A,CatPEP!C:C,"")</f>
        <v/>
      </c>
      <c r="G146" t="str">
        <f>_xlfn.XLOOKUP(Table1[[#This Row],[PEP]],CatPEP!C:C,CatPEP!D:D,"")</f>
        <v/>
      </c>
      <c r="O146" s="53">
        <f>SUMIF('Registro Refacciones'!B:B, I146, 'Registro Refacciones'!I:I)</f>
        <v>0</v>
      </c>
      <c r="P146" s="26">
        <f>Table1[[#This Row],[Costo Servicio]]+Table1[[#This Row],[Refacciones]]</f>
        <v>0</v>
      </c>
      <c r="Q146" s="26"/>
    </row>
    <row r="147" spans="1:17">
      <c r="A147" s="37" t="str">
        <f>IF(Table1[[#This Row],[Tipo de Servicio]]="","",Caratula!$D$15)</f>
        <v/>
      </c>
      <c r="B147" s="37" t="str">
        <f>IF(Table1[[#This Row],[Tipo de Servicio]]="","",Caratula!$D$16)</f>
        <v/>
      </c>
      <c r="C147" s="24" t="str">
        <f>IF(Table1[[#This Row],[Tipo de Servicio]]="","",Caratula!$D$17)</f>
        <v/>
      </c>
      <c r="D147" s="38" t="str">
        <f>IF(ISBLANK(Table1[[#This Row],[Tipo de Servicio]]),"",Caratula!$D$16)</f>
        <v/>
      </c>
      <c r="F147" t="str">
        <f>_xlfn.XLOOKUP(Table1[[#This Row],[SelGZ]]&amp;Table1[[#This Row],[Tipo de Servicio]],CatPEP!A:A,CatPEP!C:C,"")</f>
        <v/>
      </c>
      <c r="G147" t="str">
        <f>_xlfn.XLOOKUP(Table1[[#This Row],[PEP]],CatPEP!C:C,CatPEP!D:D,"")</f>
        <v/>
      </c>
      <c r="O147" s="53">
        <f>SUMIF('Registro Refacciones'!B:B, I147, 'Registro Refacciones'!I:I)</f>
        <v>0</v>
      </c>
      <c r="P147" s="26">
        <f>Table1[[#This Row],[Costo Servicio]]+Table1[[#This Row],[Refacciones]]</f>
        <v>0</v>
      </c>
      <c r="Q147" s="26"/>
    </row>
    <row r="148" spans="1:17">
      <c r="A148" s="37" t="str">
        <f>IF(Table1[[#This Row],[Tipo de Servicio]]="","",Caratula!$D$15)</f>
        <v/>
      </c>
      <c r="B148" s="37" t="str">
        <f>IF(Table1[[#This Row],[Tipo de Servicio]]="","",Caratula!$D$16)</f>
        <v/>
      </c>
      <c r="C148" s="24" t="str">
        <f>IF(Table1[[#This Row],[Tipo de Servicio]]="","",Caratula!$D$17)</f>
        <v/>
      </c>
      <c r="D148" s="38" t="str">
        <f>IF(ISBLANK(Table1[[#This Row],[Tipo de Servicio]]),"",Caratula!$D$16)</f>
        <v/>
      </c>
      <c r="F148" t="str">
        <f>_xlfn.XLOOKUP(Table1[[#This Row],[SelGZ]]&amp;Table1[[#This Row],[Tipo de Servicio]],CatPEP!A:A,CatPEP!C:C,"")</f>
        <v/>
      </c>
      <c r="G148" t="str">
        <f>_xlfn.XLOOKUP(Table1[[#This Row],[PEP]],CatPEP!C:C,CatPEP!D:D,"")</f>
        <v/>
      </c>
      <c r="O148" s="53">
        <f>SUMIF('Registro Refacciones'!B:B, I148, 'Registro Refacciones'!I:I)</f>
        <v>0</v>
      </c>
      <c r="P148" s="26">
        <f>Table1[[#This Row],[Costo Servicio]]+Table1[[#This Row],[Refacciones]]</f>
        <v>0</v>
      </c>
      <c r="Q148" s="26"/>
    </row>
    <row r="149" spans="1:17">
      <c r="A149" s="37" t="str">
        <f>IF(Table1[[#This Row],[Tipo de Servicio]]="","",Caratula!$D$15)</f>
        <v/>
      </c>
      <c r="B149" s="37" t="str">
        <f>IF(Table1[[#This Row],[Tipo de Servicio]]="","",Caratula!$D$16)</f>
        <v/>
      </c>
      <c r="C149" s="24" t="str">
        <f>IF(Table1[[#This Row],[Tipo de Servicio]]="","",Caratula!$D$17)</f>
        <v/>
      </c>
      <c r="D149" s="38" t="str">
        <f>IF(ISBLANK(Table1[[#This Row],[Tipo de Servicio]]),"",Caratula!$D$16)</f>
        <v/>
      </c>
      <c r="F149" t="str">
        <f>_xlfn.XLOOKUP(Table1[[#This Row],[SelGZ]]&amp;Table1[[#This Row],[Tipo de Servicio]],CatPEP!A:A,CatPEP!C:C,"")</f>
        <v/>
      </c>
      <c r="G149" t="str">
        <f>_xlfn.XLOOKUP(Table1[[#This Row],[PEP]],CatPEP!C:C,CatPEP!D:D,"")</f>
        <v/>
      </c>
      <c r="O149" s="53">
        <f>SUMIF('Registro Refacciones'!B:B, I149, 'Registro Refacciones'!I:I)</f>
        <v>0</v>
      </c>
      <c r="P149" s="26">
        <f>Table1[[#This Row],[Costo Servicio]]+Table1[[#This Row],[Refacciones]]</f>
        <v>0</v>
      </c>
      <c r="Q149" s="26"/>
    </row>
    <row r="150" spans="1:17">
      <c r="A150" s="37" t="str">
        <f>IF(Table1[[#This Row],[Tipo de Servicio]]="","",Caratula!$D$15)</f>
        <v/>
      </c>
      <c r="B150" s="37" t="str">
        <f>IF(Table1[[#This Row],[Tipo de Servicio]]="","",Caratula!$D$16)</f>
        <v/>
      </c>
      <c r="C150" s="24" t="str">
        <f>IF(Table1[[#This Row],[Tipo de Servicio]]="","",Caratula!$D$17)</f>
        <v/>
      </c>
      <c r="D150" s="38" t="str">
        <f>IF(ISBLANK(Table1[[#This Row],[Tipo de Servicio]]),"",Caratula!$D$16)</f>
        <v/>
      </c>
      <c r="F150" t="str">
        <f>_xlfn.XLOOKUP(Table1[[#This Row],[SelGZ]]&amp;Table1[[#This Row],[Tipo de Servicio]],CatPEP!A:A,CatPEP!C:C,"")</f>
        <v/>
      </c>
      <c r="G150" t="str">
        <f>_xlfn.XLOOKUP(Table1[[#This Row],[PEP]],CatPEP!C:C,CatPEP!D:D,"")</f>
        <v/>
      </c>
      <c r="O150" s="53">
        <f>SUMIF('Registro Refacciones'!B:B, I150, 'Registro Refacciones'!I:I)</f>
        <v>0</v>
      </c>
      <c r="P150" s="26">
        <f>Table1[[#This Row],[Costo Servicio]]+Table1[[#This Row],[Refacciones]]</f>
        <v>0</v>
      </c>
      <c r="Q150" s="26"/>
    </row>
    <row r="151" spans="1:17">
      <c r="A151" s="37" t="str">
        <f>IF(Table1[[#This Row],[Tipo de Servicio]]="","",Caratula!$D$15)</f>
        <v/>
      </c>
      <c r="B151" s="37" t="str">
        <f>IF(Table1[[#This Row],[Tipo de Servicio]]="","",Caratula!$D$16)</f>
        <v/>
      </c>
      <c r="C151" s="24" t="str">
        <f>IF(Table1[[#This Row],[Tipo de Servicio]]="","",Caratula!$D$17)</f>
        <v/>
      </c>
      <c r="D151" s="38" t="str">
        <f>IF(ISBLANK(Table1[[#This Row],[Tipo de Servicio]]),"",Caratula!$D$16)</f>
        <v/>
      </c>
      <c r="F151" t="str">
        <f>_xlfn.XLOOKUP(Table1[[#This Row],[SelGZ]]&amp;Table1[[#This Row],[Tipo de Servicio]],CatPEP!A:A,CatPEP!C:C,"")</f>
        <v/>
      </c>
      <c r="G151" t="str">
        <f>_xlfn.XLOOKUP(Table1[[#This Row],[PEP]],CatPEP!C:C,CatPEP!D:D,"")</f>
        <v/>
      </c>
      <c r="O151" s="53">
        <f>SUMIF('Registro Refacciones'!B:B, I151, 'Registro Refacciones'!I:I)</f>
        <v>0</v>
      </c>
      <c r="P151" s="26">
        <f>Table1[[#This Row],[Costo Servicio]]+Table1[[#This Row],[Refacciones]]</f>
        <v>0</v>
      </c>
      <c r="Q151" s="26"/>
    </row>
    <row r="152" spans="1:17">
      <c r="A152" s="37" t="str">
        <f>IF(Table1[[#This Row],[Tipo de Servicio]]="","",Caratula!$D$15)</f>
        <v/>
      </c>
      <c r="B152" s="37" t="str">
        <f>IF(Table1[[#This Row],[Tipo de Servicio]]="","",Caratula!$D$16)</f>
        <v/>
      </c>
      <c r="C152" s="24" t="str">
        <f>IF(Table1[[#This Row],[Tipo de Servicio]]="","",Caratula!$D$17)</f>
        <v/>
      </c>
      <c r="D152" s="38" t="str">
        <f>IF(ISBLANK(Table1[[#This Row],[Tipo de Servicio]]),"",Caratula!$D$16)</f>
        <v/>
      </c>
      <c r="F152" t="str">
        <f>_xlfn.XLOOKUP(Table1[[#This Row],[SelGZ]]&amp;Table1[[#This Row],[Tipo de Servicio]],CatPEP!A:A,CatPEP!C:C,"")</f>
        <v/>
      </c>
      <c r="G152" t="str">
        <f>_xlfn.XLOOKUP(Table1[[#This Row],[PEP]],CatPEP!C:C,CatPEP!D:D,"")</f>
        <v/>
      </c>
      <c r="O152" s="53">
        <f>SUMIF('Registro Refacciones'!B:B, I152, 'Registro Refacciones'!I:I)</f>
        <v>0</v>
      </c>
      <c r="P152" s="26">
        <f>Table1[[#This Row],[Costo Servicio]]+Table1[[#This Row],[Refacciones]]</f>
        <v>0</v>
      </c>
      <c r="Q152" s="26"/>
    </row>
    <row r="153" spans="1:17">
      <c r="A153" s="37" t="str">
        <f>IF(Table1[[#This Row],[Tipo de Servicio]]="","",Caratula!$D$15)</f>
        <v/>
      </c>
      <c r="B153" s="37" t="str">
        <f>IF(Table1[[#This Row],[Tipo de Servicio]]="","",Caratula!$D$16)</f>
        <v/>
      </c>
      <c r="C153" s="24" t="str">
        <f>IF(Table1[[#This Row],[Tipo de Servicio]]="","",Caratula!$D$17)</f>
        <v/>
      </c>
      <c r="D153" s="38" t="str">
        <f>IF(ISBLANK(Table1[[#This Row],[Tipo de Servicio]]),"",Caratula!$D$16)</f>
        <v/>
      </c>
      <c r="F153" t="str">
        <f>_xlfn.XLOOKUP(Table1[[#This Row],[SelGZ]]&amp;Table1[[#This Row],[Tipo de Servicio]],CatPEP!A:A,CatPEP!C:C,"")</f>
        <v/>
      </c>
      <c r="G153" t="str">
        <f>_xlfn.XLOOKUP(Table1[[#This Row],[PEP]],CatPEP!C:C,CatPEP!D:D,"")</f>
        <v/>
      </c>
      <c r="O153" s="53">
        <f>SUMIF('Registro Refacciones'!B:B, I153, 'Registro Refacciones'!I:I)</f>
        <v>0</v>
      </c>
      <c r="P153" s="26">
        <f>Table1[[#This Row],[Costo Servicio]]+Table1[[#This Row],[Refacciones]]</f>
        <v>0</v>
      </c>
      <c r="Q153" s="26"/>
    </row>
    <row r="154" spans="1:17">
      <c r="A154" s="37" t="str">
        <f>IF(Table1[[#This Row],[Tipo de Servicio]]="","",Caratula!$D$15)</f>
        <v/>
      </c>
      <c r="B154" s="37" t="str">
        <f>IF(Table1[[#This Row],[Tipo de Servicio]]="","",Caratula!$D$16)</f>
        <v/>
      </c>
      <c r="C154" s="24" t="str">
        <f>IF(Table1[[#This Row],[Tipo de Servicio]]="","",Caratula!$D$17)</f>
        <v/>
      </c>
      <c r="D154" s="38" t="str">
        <f>IF(ISBLANK(Table1[[#This Row],[Tipo de Servicio]]),"",Caratula!$D$16)</f>
        <v/>
      </c>
      <c r="F154" t="str">
        <f>_xlfn.XLOOKUP(Table1[[#This Row],[SelGZ]]&amp;Table1[[#This Row],[Tipo de Servicio]],CatPEP!A:A,CatPEP!C:C,"")</f>
        <v/>
      </c>
      <c r="G154" t="str">
        <f>_xlfn.XLOOKUP(Table1[[#This Row],[PEP]],CatPEP!C:C,CatPEP!D:D,"")</f>
        <v/>
      </c>
      <c r="O154" s="53">
        <f>SUMIF('Registro Refacciones'!B:B, I154, 'Registro Refacciones'!I:I)</f>
        <v>0</v>
      </c>
      <c r="P154" s="26">
        <f>Table1[[#This Row],[Costo Servicio]]+Table1[[#This Row],[Refacciones]]</f>
        <v>0</v>
      </c>
      <c r="Q154" s="26"/>
    </row>
    <row r="155" spans="1:17">
      <c r="A155" s="37" t="str">
        <f>IF(Table1[[#This Row],[Tipo de Servicio]]="","",Caratula!$D$15)</f>
        <v/>
      </c>
      <c r="B155" s="37" t="str">
        <f>IF(Table1[[#This Row],[Tipo de Servicio]]="","",Caratula!$D$16)</f>
        <v/>
      </c>
      <c r="C155" s="24" t="str">
        <f>IF(Table1[[#This Row],[Tipo de Servicio]]="","",Caratula!$D$17)</f>
        <v/>
      </c>
      <c r="D155" s="38" t="str">
        <f>IF(ISBLANK(Table1[[#This Row],[Tipo de Servicio]]),"",Caratula!$D$16)</f>
        <v/>
      </c>
      <c r="F155" t="str">
        <f>_xlfn.XLOOKUP(Table1[[#This Row],[SelGZ]]&amp;Table1[[#This Row],[Tipo de Servicio]],CatPEP!A:A,CatPEP!C:C,"")</f>
        <v/>
      </c>
      <c r="G155" t="str">
        <f>_xlfn.XLOOKUP(Table1[[#This Row],[PEP]],CatPEP!C:C,CatPEP!D:D,"")</f>
        <v/>
      </c>
      <c r="O155" s="53">
        <f>SUMIF('Registro Refacciones'!B:B, I155, 'Registro Refacciones'!I:I)</f>
        <v>0</v>
      </c>
      <c r="P155" s="26">
        <f>Table1[[#This Row],[Costo Servicio]]+Table1[[#This Row],[Refacciones]]</f>
        <v>0</v>
      </c>
      <c r="Q155" s="26"/>
    </row>
    <row r="156" spans="1:17">
      <c r="A156" s="37" t="str">
        <f>IF(Table1[[#This Row],[Tipo de Servicio]]="","",Caratula!$D$15)</f>
        <v/>
      </c>
      <c r="B156" s="37" t="str">
        <f>IF(Table1[[#This Row],[Tipo de Servicio]]="","",Caratula!$D$16)</f>
        <v/>
      </c>
      <c r="C156" s="24" t="str">
        <f>IF(Table1[[#This Row],[Tipo de Servicio]]="","",Caratula!$D$17)</f>
        <v/>
      </c>
      <c r="D156" s="38" t="str">
        <f>IF(ISBLANK(Table1[[#This Row],[Tipo de Servicio]]),"",Caratula!$D$16)</f>
        <v/>
      </c>
      <c r="F156" t="str">
        <f>_xlfn.XLOOKUP(Table1[[#This Row],[SelGZ]]&amp;Table1[[#This Row],[Tipo de Servicio]],CatPEP!A:A,CatPEP!C:C,"")</f>
        <v/>
      </c>
      <c r="G156" t="str">
        <f>_xlfn.XLOOKUP(Table1[[#This Row],[PEP]],CatPEP!C:C,CatPEP!D:D,"")</f>
        <v/>
      </c>
      <c r="O156" s="53">
        <f>SUMIF('Registro Refacciones'!B:B, I156, 'Registro Refacciones'!I:I)</f>
        <v>0</v>
      </c>
      <c r="P156" s="26">
        <f>Table1[[#This Row],[Costo Servicio]]+Table1[[#This Row],[Refacciones]]</f>
        <v>0</v>
      </c>
      <c r="Q156" s="26"/>
    </row>
    <row r="157" spans="1:17">
      <c r="A157" s="37" t="str">
        <f>IF(Table1[[#This Row],[Tipo de Servicio]]="","",Caratula!$D$15)</f>
        <v/>
      </c>
      <c r="B157" s="37" t="str">
        <f>IF(Table1[[#This Row],[Tipo de Servicio]]="","",Caratula!$D$16)</f>
        <v/>
      </c>
      <c r="C157" s="24" t="str">
        <f>IF(Table1[[#This Row],[Tipo de Servicio]]="","",Caratula!$D$17)</f>
        <v/>
      </c>
      <c r="D157" s="38" t="str">
        <f>IF(ISBLANK(Table1[[#This Row],[Tipo de Servicio]]),"",Caratula!$D$16)</f>
        <v/>
      </c>
      <c r="F157" t="str">
        <f>_xlfn.XLOOKUP(Table1[[#This Row],[SelGZ]]&amp;Table1[[#This Row],[Tipo de Servicio]],CatPEP!A:A,CatPEP!C:C,"")</f>
        <v/>
      </c>
      <c r="G157" t="str">
        <f>_xlfn.XLOOKUP(Table1[[#This Row],[PEP]],CatPEP!C:C,CatPEP!D:D,"")</f>
        <v/>
      </c>
      <c r="O157" s="53">
        <f>SUMIF('Registro Refacciones'!B:B, I157, 'Registro Refacciones'!I:I)</f>
        <v>0</v>
      </c>
      <c r="P157" s="26">
        <f>Table1[[#This Row],[Costo Servicio]]+Table1[[#This Row],[Refacciones]]</f>
        <v>0</v>
      </c>
      <c r="Q157" s="26"/>
    </row>
    <row r="158" spans="1:17">
      <c r="A158" s="37" t="str">
        <f>IF(Table1[[#This Row],[Tipo de Servicio]]="","",Caratula!$D$15)</f>
        <v/>
      </c>
      <c r="B158" s="37" t="str">
        <f>IF(Table1[[#This Row],[Tipo de Servicio]]="","",Caratula!$D$16)</f>
        <v/>
      </c>
      <c r="C158" s="24" t="str">
        <f>IF(Table1[[#This Row],[Tipo de Servicio]]="","",Caratula!$D$17)</f>
        <v/>
      </c>
      <c r="D158" s="38" t="str">
        <f>IF(ISBLANK(Table1[[#This Row],[Tipo de Servicio]]),"",Caratula!$D$16)</f>
        <v/>
      </c>
      <c r="F158" t="str">
        <f>_xlfn.XLOOKUP(Table1[[#This Row],[SelGZ]]&amp;Table1[[#This Row],[Tipo de Servicio]],CatPEP!A:A,CatPEP!C:C,"")</f>
        <v/>
      </c>
      <c r="G158" t="str">
        <f>_xlfn.XLOOKUP(Table1[[#This Row],[PEP]],CatPEP!C:C,CatPEP!D:D,"")</f>
        <v/>
      </c>
      <c r="O158" s="53">
        <f>SUMIF('Registro Refacciones'!B:B, I158, 'Registro Refacciones'!I:I)</f>
        <v>0</v>
      </c>
      <c r="P158" s="26">
        <f>Table1[[#This Row],[Costo Servicio]]+Table1[[#This Row],[Refacciones]]</f>
        <v>0</v>
      </c>
      <c r="Q158" s="26"/>
    </row>
    <row r="159" spans="1:17">
      <c r="A159" s="37" t="str">
        <f>IF(Table1[[#This Row],[Tipo de Servicio]]="","",Caratula!$D$15)</f>
        <v/>
      </c>
      <c r="B159" s="37" t="str">
        <f>IF(Table1[[#This Row],[Tipo de Servicio]]="","",Caratula!$D$16)</f>
        <v/>
      </c>
      <c r="C159" s="24" t="str">
        <f>IF(Table1[[#This Row],[Tipo de Servicio]]="","",Caratula!$D$17)</f>
        <v/>
      </c>
      <c r="D159" s="38" t="str">
        <f>IF(ISBLANK(Table1[[#This Row],[Tipo de Servicio]]),"",Caratula!$D$16)</f>
        <v/>
      </c>
      <c r="F159" t="str">
        <f>_xlfn.XLOOKUP(Table1[[#This Row],[SelGZ]]&amp;Table1[[#This Row],[Tipo de Servicio]],CatPEP!A:A,CatPEP!C:C,"")</f>
        <v/>
      </c>
      <c r="G159" t="str">
        <f>_xlfn.XLOOKUP(Table1[[#This Row],[PEP]],CatPEP!C:C,CatPEP!D:D,"")</f>
        <v/>
      </c>
      <c r="O159" s="53">
        <f>SUMIF('Registro Refacciones'!B:B, I159, 'Registro Refacciones'!I:I)</f>
        <v>0</v>
      </c>
      <c r="P159" s="26">
        <f>Table1[[#This Row],[Costo Servicio]]+Table1[[#This Row],[Refacciones]]</f>
        <v>0</v>
      </c>
      <c r="Q159" s="26"/>
    </row>
    <row r="160" spans="1:17">
      <c r="A160" s="37" t="str">
        <f>IF(Table1[[#This Row],[Tipo de Servicio]]="","",Caratula!$D$15)</f>
        <v/>
      </c>
      <c r="B160" s="37" t="str">
        <f>IF(Table1[[#This Row],[Tipo de Servicio]]="","",Caratula!$D$16)</f>
        <v/>
      </c>
      <c r="C160" s="24" t="str">
        <f>IF(Table1[[#This Row],[Tipo de Servicio]]="","",Caratula!$D$17)</f>
        <v/>
      </c>
      <c r="D160" s="38" t="str">
        <f>IF(ISBLANK(Table1[[#This Row],[Tipo de Servicio]]),"",Caratula!$D$16)</f>
        <v/>
      </c>
      <c r="F160" t="str">
        <f>_xlfn.XLOOKUP(Table1[[#This Row],[SelGZ]]&amp;Table1[[#This Row],[Tipo de Servicio]],CatPEP!A:A,CatPEP!C:C,"")</f>
        <v/>
      </c>
      <c r="G160" t="str">
        <f>_xlfn.XLOOKUP(Table1[[#This Row],[PEP]],CatPEP!C:C,CatPEP!D:D,"")</f>
        <v/>
      </c>
      <c r="O160" s="53">
        <f>SUMIF('Registro Refacciones'!B:B, I160, 'Registro Refacciones'!I:I)</f>
        <v>0</v>
      </c>
      <c r="P160" s="26">
        <f>Table1[[#This Row],[Costo Servicio]]+Table1[[#This Row],[Refacciones]]</f>
        <v>0</v>
      </c>
      <c r="Q160" s="26"/>
    </row>
    <row r="161" spans="1:17">
      <c r="A161" s="37" t="str">
        <f>IF(Table1[[#This Row],[Tipo de Servicio]]="","",Caratula!$D$15)</f>
        <v/>
      </c>
      <c r="B161" s="37" t="str">
        <f>IF(Table1[[#This Row],[Tipo de Servicio]]="","",Caratula!$D$16)</f>
        <v/>
      </c>
      <c r="C161" s="24" t="str">
        <f>IF(Table1[[#This Row],[Tipo de Servicio]]="","",Caratula!$D$17)</f>
        <v/>
      </c>
      <c r="D161" s="38" t="str">
        <f>IF(ISBLANK(Table1[[#This Row],[Tipo de Servicio]]),"",Caratula!$D$16)</f>
        <v/>
      </c>
      <c r="F161" t="str">
        <f>_xlfn.XLOOKUP(Table1[[#This Row],[SelGZ]]&amp;Table1[[#This Row],[Tipo de Servicio]],CatPEP!A:A,CatPEP!C:C,"")</f>
        <v/>
      </c>
      <c r="G161" t="str">
        <f>_xlfn.XLOOKUP(Table1[[#This Row],[PEP]],CatPEP!C:C,CatPEP!D:D,"")</f>
        <v/>
      </c>
      <c r="O161" s="53">
        <f>SUMIF('Registro Refacciones'!B:B, I161, 'Registro Refacciones'!I:I)</f>
        <v>0</v>
      </c>
      <c r="P161" s="26">
        <f>Table1[[#This Row],[Costo Servicio]]+Table1[[#This Row],[Refacciones]]</f>
        <v>0</v>
      </c>
      <c r="Q161" s="26"/>
    </row>
    <row r="162" spans="1:17">
      <c r="A162" s="37" t="str">
        <f>IF(Table1[[#This Row],[Tipo de Servicio]]="","",Caratula!$D$15)</f>
        <v/>
      </c>
      <c r="B162" s="37" t="str">
        <f>IF(Table1[[#This Row],[Tipo de Servicio]]="","",Caratula!$D$16)</f>
        <v/>
      </c>
      <c r="C162" s="24" t="str">
        <f>IF(Table1[[#This Row],[Tipo de Servicio]]="","",Caratula!$D$17)</f>
        <v/>
      </c>
      <c r="D162" s="38" t="str">
        <f>IF(ISBLANK(Table1[[#This Row],[Tipo de Servicio]]),"",Caratula!$D$16)</f>
        <v/>
      </c>
      <c r="F162" t="str">
        <f>_xlfn.XLOOKUP(Table1[[#This Row],[SelGZ]]&amp;Table1[[#This Row],[Tipo de Servicio]],CatPEP!A:A,CatPEP!C:C,"")</f>
        <v/>
      </c>
      <c r="G162" t="str">
        <f>_xlfn.XLOOKUP(Table1[[#This Row],[PEP]],CatPEP!C:C,CatPEP!D:D,"")</f>
        <v/>
      </c>
      <c r="O162" s="53">
        <f>SUMIF('Registro Refacciones'!B:B, I162, 'Registro Refacciones'!I:I)</f>
        <v>0</v>
      </c>
      <c r="P162" s="26">
        <f>Table1[[#This Row],[Costo Servicio]]+Table1[[#This Row],[Refacciones]]</f>
        <v>0</v>
      </c>
      <c r="Q162" s="26"/>
    </row>
    <row r="163" spans="1:17">
      <c r="A163" s="37" t="str">
        <f>IF(Table1[[#This Row],[Tipo de Servicio]]="","",Caratula!$D$15)</f>
        <v/>
      </c>
      <c r="B163" s="37" t="str">
        <f>IF(Table1[[#This Row],[Tipo de Servicio]]="","",Caratula!$D$16)</f>
        <v/>
      </c>
      <c r="C163" s="24" t="str">
        <f>IF(Table1[[#This Row],[Tipo de Servicio]]="","",Caratula!$D$17)</f>
        <v/>
      </c>
      <c r="D163" s="38" t="str">
        <f>IF(ISBLANK(Table1[[#This Row],[Tipo de Servicio]]),"",Caratula!$D$16)</f>
        <v/>
      </c>
      <c r="F163" t="str">
        <f>_xlfn.XLOOKUP(Table1[[#This Row],[SelGZ]]&amp;Table1[[#This Row],[Tipo de Servicio]],CatPEP!A:A,CatPEP!C:C,"")</f>
        <v/>
      </c>
      <c r="G163" t="str">
        <f>_xlfn.XLOOKUP(Table1[[#This Row],[PEP]],CatPEP!C:C,CatPEP!D:D,"")</f>
        <v/>
      </c>
      <c r="O163" s="53">
        <f>SUMIF('Registro Refacciones'!B:B, I163, 'Registro Refacciones'!I:I)</f>
        <v>0</v>
      </c>
      <c r="P163" s="26">
        <f>Table1[[#This Row],[Costo Servicio]]+Table1[[#This Row],[Refacciones]]</f>
        <v>0</v>
      </c>
      <c r="Q163" s="26"/>
    </row>
    <row r="164" spans="1:17">
      <c r="A164" s="37" t="str">
        <f>IF(Table1[[#This Row],[Tipo de Servicio]]="","",Caratula!$D$15)</f>
        <v/>
      </c>
      <c r="B164" s="37" t="str">
        <f>IF(Table1[[#This Row],[Tipo de Servicio]]="","",Caratula!$D$16)</f>
        <v/>
      </c>
      <c r="C164" s="24" t="str">
        <f>IF(Table1[[#This Row],[Tipo de Servicio]]="","",Caratula!$D$17)</f>
        <v/>
      </c>
      <c r="D164" s="38" t="str">
        <f>IF(ISBLANK(Table1[[#This Row],[Tipo de Servicio]]),"",Caratula!$D$16)</f>
        <v/>
      </c>
      <c r="F164" t="str">
        <f>_xlfn.XLOOKUP(Table1[[#This Row],[SelGZ]]&amp;Table1[[#This Row],[Tipo de Servicio]],CatPEP!A:A,CatPEP!C:C,"")</f>
        <v/>
      </c>
      <c r="G164" t="str">
        <f>_xlfn.XLOOKUP(Table1[[#This Row],[PEP]],CatPEP!C:C,CatPEP!D:D,"")</f>
        <v/>
      </c>
      <c r="O164" s="53">
        <f>SUMIF('Registro Refacciones'!B:B, I164, 'Registro Refacciones'!I:I)</f>
        <v>0</v>
      </c>
      <c r="P164" s="26">
        <f>Table1[[#This Row],[Costo Servicio]]+Table1[[#This Row],[Refacciones]]</f>
        <v>0</v>
      </c>
      <c r="Q164" s="26"/>
    </row>
    <row r="165" spans="1:17">
      <c r="A165" s="37" t="str">
        <f>IF(Table1[[#This Row],[Tipo de Servicio]]="","",Caratula!$D$15)</f>
        <v/>
      </c>
      <c r="B165" s="37" t="str">
        <f>IF(Table1[[#This Row],[Tipo de Servicio]]="","",Caratula!$D$16)</f>
        <v/>
      </c>
      <c r="C165" s="24" t="str">
        <f>IF(Table1[[#This Row],[Tipo de Servicio]]="","",Caratula!$D$17)</f>
        <v/>
      </c>
      <c r="D165" s="38" t="str">
        <f>IF(ISBLANK(Table1[[#This Row],[Tipo de Servicio]]),"",Caratula!$D$16)</f>
        <v/>
      </c>
      <c r="F165" t="str">
        <f>_xlfn.XLOOKUP(Table1[[#This Row],[SelGZ]]&amp;Table1[[#This Row],[Tipo de Servicio]],CatPEP!A:A,CatPEP!C:C,"")</f>
        <v/>
      </c>
      <c r="G165" t="str">
        <f>_xlfn.XLOOKUP(Table1[[#This Row],[PEP]],CatPEP!C:C,CatPEP!D:D,"")</f>
        <v/>
      </c>
      <c r="O165" s="53">
        <f>SUMIF('Registro Refacciones'!B:B, I165, 'Registro Refacciones'!I:I)</f>
        <v>0</v>
      </c>
      <c r="P165" s="26">
        <f>Table1[[#This Row],[Costo Servicio]]+Table1[[#This Row],[Refacciones]]</f>
        <v>0</v>
      </c>
      <c r="Q165" s="26"/>
    </row>
    <row r="166" spans="1:17">
      <c r="A166" s="37" t="str">
        <f>IF(Table1[[#This Row],[Tipo de Servicio]]="","",Caratula!$D$15)</f>
        <v/>
      </c>
      <c r="B166" s="37" t="str">
        <f>IF(Table1[[#This Row],[Tipo de Servicio]]="","",Caratula!$D$16)</f>
        <v/>
      </c>
      <c r="C166" s="24" t="str">
        <f>IF(Table1[[#This Row],[Tipo de Servicio]]="","",Caratula!$D$17)</f>
        <v/>
      </c>
      <c r="D166" s="38" t="str">
        <f>IF(ISBLANK(Table1[[#This Row],[Tipo de Servicio]]),"",Caratula!$D$16)</f>
        <v/>
      </c>
      <c r="F166" t="str">
        <f>_xlfn.XLOOKUP(Table1[[#This Row],[SelGZ]]&amp;Table1[[#This Row],[Tipo de Servicio]],CatPEP!A:A,CatPEP!C:C,"")</f>
        <v/>
      </c>
      <c r="G166" t="str">
        <f>_xlfn.XLOOKUP(Table1[[#This Row],[PEP]],CatPEP!C:C,CatPEP!D:D,"")</f>
        <v/>
      </c>
      <c r="O166" s="53">
        <f>SUMIF('Registro Refacciones'!B:B, I166, 'Registro Refacciones'!I:I)</f>
        <v>0</v>
      </c>
      <c r="P166" s="26">
        <f>Table1[[#This Row],[Costo Servicio]]+Table1[[#This Row],[Refacciones]]</f>
        <v>0</v>
      </c>
      <c r="Q166" s="26"/>
    </row>
    <row r="167" spans="1:17">
      <c r="A167" s="37" t="str">
        <f>IF(Table1[[#This Row],[Tipo de Servicio]]="","",Caratula!$D$15)</f>
        <v/>
      </c>
      <c r="B167" s="37" t="str">
        <f>IF(Table1[[#This Row],[Tipo de Servicio]]="","",Caratula!$D$16)</f>
        <v/>
      </c>
      <c r="C167" s="24" t="str">
        <f>IF(Table1[[#This Row],[Tipo de Servicio]]="","",Caratula!$D$17)</f>
        <v/>
      </c>
      <c r="D167" s="38" t="str">
        <f>IF(ISBLANK(Table1[[#This Row],[Tipo de Servicio]]),"",Caratula!$D$16)</f>
        <v/>
      </c>
      <c r="F167" t="str">
        <f>_xlfn.XLOOKUP(Table1[[#This Row],[SelGZ]]&amp;Table1[[#This Row],[Tipo de Servicio]],CatPEP!A:A,CatPEP!C:C,"")</f>
        <v/>
      </c>
      <c r="G167" t="str">
        <f>_xlfn.XLOOKUP(Table1[[#This Row],[PEP]],CatPEP!C:C,CatPEP!D:D,"")</f>
        <v/>
      </c>
      <c r="O167" s="53">
        <f>SUMIF('Registro Refacciones'!B:B, I167, 'Registro Refacciones'!I:I)</f>
        <v>0</v>
      </c>
      <c r="P167" s="26">
        <f>Table1[[#This Row],[Costo Servicio]]+Table1[[#This Row],[Refacciones]]</f>
        <v>0</v>
      </c>
      <c r="Q167" s="26"/>
    </row>
    <row r="168" spans="1:17">
      <c r="A168" s="37" t="str">
        <f>IF(Table1[[#This Row],[Tipo de Servicio]]="","",Caratula!$D$15)</f>
        <v/>
      </c>
      <c r="B168" s="37" t="str">
        <f>IF(Table1[[#This Row],[Tipo de Servicio]]="","",Caratula!$D$16)</f>
        <v/>
      </c>
      <c r="C168" s="24" t="str">
        <f>IF(Table1[[#This Row],[Tipo de Servicio]]="","",Caratula!$D$17)</f>
        <v/>
      </c>
      <c r="D168" s="38" t="str">
        <f>IF(ISBLANK(Table1[[#This Row],[Tipo de Servicio]]),"",Caratula!$D$16)</f>
        <v/>
      </c>
      <c r="F168" t="str">
        <f>_xlfn.XLOOKUP(Table1[[#This Row],[SelGZ]]&amp;Table1[[#This Row],[Tipo de Servicio]],CatPEP!A:A,CatPEP!C:C,"")</f>
        <v/>
      </c>
      <c r="G168" t="str">
        <f>_xlfn.XLOOKUP(Table1[[#This Row],[PEP]],CatPEP!C:C,CatPEP!D:D,"")</f>
        <v/>
      </c>
      <c r="O168" s="53">
        <f>SUMIF('Registro Refacciones'!B:B, I168, 'Registro Refacciones'!I:I)</f>
        <v>0</v>
      </c>
      <c r="P168" s="26">
        <f>Table1[[#This Row],[Costo Servicio]]+Table1[[#This Row],[Refacciones]]</f>
        <v>0</v>
      </c>
      <c r="Q168" s="26"/>
    </row>
    <row r="169" spans="1:17">
      <c r="A169" s="37" t="str">
        <f>IF(Table1[[#This Row],[Tipo de Servicio]]="","",Caratula!$D$15)</f>
        <v/>
      </c>
      <c r="B169" s="37" t="str">
        <f>IF(Table1[[#This Row],[Tipo de Servicio]]="","",Caratula!$D$16)</f>
        <v/>
      </c>
      <c r="C169" s="24" t="str">
        <f>IF(Table1[[#This Row],[Tipo de Servicio]]="","",Caratula!$D$17)</f>
        <v/>
      </c>
      <c r="D169" s="38" t="str">
        <f>IF(ISBLANK(Table1[[#This Row],[Tipo de Servicio]]),"",Caratula!$D$16)</f>
        <v/>
      </c>
      <c r="F169" t="str">
        <f>_xlfn.XLOOKUP(Table1[[#This Row],[SelGZ]]&amp;Table1[[#This Row],[Tipo de Servicio]],CatPEP!A:A,CatPEP!C:C,"")</f>
        <v/>
      </c>
      <c r="G169" t="str">
        <f>_xlfn.XLOOKUP(Table1[[#This Row],[PEP]],CatPEP!C:C,CatPEP!D:D,"")</f>
        <v/>
      </c>
      <c r="O169" s="53">
        <f>SUMIF('Registro Refacciones'!B:B, I169, 'Registro Refacciones'!I:I)</f>
        <v>0</v>
      </c>
      <c r="P169" s="26">
        <f>Table1[[#This Row],[Costo Servicio]]+Table1[[#This Row],[Refacciones]]</f>
        <v>0</v>
      </c>
      <c r="Q169" s="26"/>
    </row>
    <row r="170" spans="1:17">
      <c r="A170" s="37" t="str">
        <f>IF(Table1[[#This Row],[Tipo de Servicio]]="","",Caratula!$D$15)</f>
        <v/>
      </c>
      <c r="B170" s="37" t="str">
        <f>IF(Table1[[#This Row],[Tipo de Servicio]]="","",Caratula!$D$16)</f>
        <v/>
      </c>
      <c r="C170" s="24" t="str">
        <f>IF(Table1[[#This Row],[Tipo de Servicio]]="","",Caratula!$D$17)</f>
        <v/>
      </c>
      <c r="D170" s="38" t="str">
        <f>IF(ISBLANK(Table1[[#This Row],[Tipo de Servicio]]),"",Caratula!$D$16)</f>
        <v/>
      </c>
      <c r="F170" t="str">
        <f>_xlfn.XLOOKUP(Table1[[#This Row],[SelGZ]]&amp;Table1[[#This Row],[Tipo de Servicio]],CatPEP!A:A,CatPEP!C:C,"")</f>
        <v/>
      </c>
      <c r="G170" t="str">
        <f>_xlfn.XLOOKUP(Table1[[#This Row],[PEP]],CatPEP!C:C,CatPEP!D:D,"")</f>
        <v/>
      </c>
      <c r="O170" s="53">
        <f>SUMIF('Registro Refacciones'!B:B, I170, 'Registro Refacciones'!I:I)</f>
        <v>0</v>
      </c>
      <c r="P170" s="26">
        <f>Table1[[#This Row],[Costo Servicio]]+Table1[[#This Row],[Refacciones]]</f>
        <v>0</v>
      </c>
      <c r="Q170" s="26"/>
    </row>
    <row r="171" spans="1:17">
      <c r="A171" s="37" t="str">
        <f>IF(Table1[[#This Row],[Tipo de Servicio]]="","",Caratula!$D$15)</f>
        <v/>
      </c>
      <c r="B171" s="37" t="str">
        <f>IF(Table1[[#This Row],[Tipo de Servicio]]="","",Caratula!$D$16)</f>
        <v/>
      </c>
      <c r="C171" s="24" t="str">
        <f>IF(Table1[[#This Row],[Tipo de Servicio]]="","",Caratula!$D$17)</f>
        <v/>
      </c>
      <c r="D171" s="38" t="str">
        <f>IF(ISBLANK(Table1[[#This Row],[Tipo de Servicio]]),"",Caratula!$D$16)</f>
        <v/>
      </c>
      <c r="F171" t="str">
        <f>_xlfn.XLOOKUP(Table1[[#This Row],[SelGZ]]&amp;Table1[[#This Row],[Tipo de Servicio]],CatPEP!A:A,CatPEP!C:C,"")</f>
        <v/>
      </c>
      <c r="G171" t="str">
        <f>_xlfn.XLOOKUP(Table1[[#This Row],[PEP]],CatPEP!C:C,CatPEP!D:D,"")</f>
        <v/>
      </c>
      <c r="O171" s="53">
        <f>SUMIF('Registro Refacciones'!B:B, I171, 'Registro Refacciones'!I:I)</f>
        <v>0</v>
      </c>
      <c r="P171" s="26">
        <f>Table1[[#This Row],[Costo Servicio]]+Table1[[#This Row],[Refacciones]]</f>
        <v>0</v>
      </c>
      <c r="Q171" s="26"/>
    </row>
    <row r="172" spans="1:17">
      <c r="A172" s="37" t="str">
        <f>IF(Table1[[#This Row],[Tipo de Servicio]]="","",Caratula!$D$15)</f>
        <v/>
      </c>
      <c r="B172" s="37" t="str">
        <f>IF(Table1[[#This Row],[Tipo de Servicio]]="","",Caratula!$D$16)</f>
        <v/>
      </c>
      <c r="C172" s="24" t="str">
        <f>IF(Table1[[#This Row],[Tipo de Servicio]]="","",Caratula!$D$17)</f>
        <v/>
      </c>
      <c r="D172" s="38" t="str">
        <f>IF(ISBLANK(Table1[[#This Row],[Tipo de Servicio]]),"",Caratula!$D$16)</f>
        <v/>
      </c>
      <c r="F172" t="str">
        <f>_xlfn.XLOOKUP(Table1[[#This Row],[SelGZ]]&amp;Table1[[#This Row],[Tipo de Servicio]],CatPEP!A:A,CatPEP!C:C,"")</f>
        <v/>
      </c>
      <c r="G172" t="str">
        <f>_xlfn.XLOOKUP(Table1[[#This Row],[PEP]],CatPEP!C:C,CatPEP!D:D,"")</f>
        <v/>
      </c>
      <c r="O172" s="53">
        <f>SUMIF('Registro Refacciones'!B:B, I172, 'Registro Refacciones'!I:I)</f>
        <v>0</v>
      </c>
      <c r="P172" s="26">
        <f>Table1[[#This Row],[Costo Servicio]]+Table1[[#This Row],[Refacciones]]</f>
        <v>0</v>
      </c>
      <c r="Q172" s="26"/>
    </row>
    <row r="173" spans="1:17">
      <c r="A173" s="37" t="str">
        <f>IF(Table1[[#This Row],[Tipo de Servicio]]="","",Caratula!$D$15)</f>
        <v/>
      </c>
      <c r="B173" s="37" t="str">
        <f>IF(Table1[[#This Row],[Tipo de Servicio]]="","",Caratula!$D$16)</f>
        <v/>
      </c>
      <c r="C173" s="24" t="str">
        <f>IF(Table1[[#This Row],[Tipo de Servicio]]="","",Caratula!$D$17)</f>
        <v/>
      </c>
      <c r="D173" s="38" t="str">
        <f>IF(ISBLANK(Table1[[#This Row],[Tipo de Servicio]]),"",Caratula!$D$16)</f>
        <v/>
      </c>
      <c r="F173" t="str">
        <f>_xlfn.XLOOKUP(Table1[[#This Row],[SelGZ]]&amp;Table1[[#This Row],[Tipo de Servicio]],CatPEP!A:A,CatPEP!C:C,"")</f>
        <v/>
      </c>
      <c r="G173" t="str">
        <f>_xlfn.XLOOKUP(Table1[[#This Row],[PEP]],CatPEP!C:C,CatPEP!D:D,"")</f>
        <v/>
      </c>
      <c r="O173" s="53">
        <f>SUMIF('Registro Refacciones'!B:B, I173, 'Registro Refacciones'!I:I)</f>
        <v>0</v>
      </c>
      <c r="P173" s="26">
        <f>Table1[[#This Row],[Costo Servicio]]+Table1[[#This Row],[Refacciones]]</f>
        <v>0</v>
      </c>
      <c r="Q173" s="26"/>
    </row>
    <row r="174" spans="1:17">
      <c r="A174" s="37" t="str">
        <f>IF(Table1[[#This Row],[Tipo de Servicio]]="","",Caratula!$D$15)</f>
        <v/>
      </c>
      <c r="B174" s="37" t="str">
        <f>IF(Table1[[#This Row],[Tipo de Servicio]]="","",Caratula!$D$16)</f>
        <v/>
      </c>
      <c r="C174" s="24" t="str">
        <f>IF(Table1[[#This Row],[Tipo de Servicio]]="","",Caratula!$D$17)</f>
        <v/>
      </c>
      <c r="D174" s="38" t="str">
        <f>IF(ISBLANK(Table1[[#This Row],[Tipo de Servicio]]),"",Caratula!$D$16)</f>
        <v/>
      </c>
      <c r="F174" t="str">
        <f>_xlfn.XLOOKUP(Table1[[#This Row],[SelGZ]]&amp;Table1[[#This Row],[Tipo de Servicio]],CatPEP!A:A,CatPEP!C:C,"")</f>
        <v/>
      </c>
      <c r="G174" t="str">
        <f>_xlfn.XLOOKUP(Table1[[#This Row],[PEP]],CatPEP!C:C,CatPEP!D:D,"")</f>
        <v/>
      </c>
      <c r="O174" s="53">
        <f>SUMIF('Registro Refacciones'!B:B, I174, 'Registro Refacciones'!I:I)</f>
        <v>0</v>
      </c>
      <c r="P174" s="26">
        <f>Table1[[#This Row],[Costo Servicio]]+Table1[[#This Row],[Refacciones]]</f>
        <v>0</v>
      </c>
      <c r="Q174" s="26"/>
    </row>
    <row r="175" spans="1:17">
      <c r="A175" s="37" t="str">
        <f>IF(Table1[[#This Row],[Tipo de Servicio]]="","",Caratula!$D$15)</f>
        <v/>
      </c>
      <c r="B175" s="37" t="str">
        <f>IF(Table1[[#This Row],[Tipo de Servicio]]="","",Caratula!$D$16)</f>
        <v/>
      </c>
      <c r="C175" s="24" t="str">
        <f>IF(Table1[[#This Row],[Tipo de Servicio]]="","",Caratula!$D$17)</f>
        <v/>
      </c>
      <c r="D175" s="38" t="str">
        <f>IF(ISBLANK(Table1[[#This Row],[Tipo de Servicio]]),"",Caratula!$D$16)</f>
        <v/>
      </c>
      <c r="F175" t="str">
        <f>_xlfn.XLOOKUP(Table1[[#This Row],[SelGZ]]&amp;Table1[[#This Row],[Tipo de Servicio]],CatPEP!A:A,CatPEP!C:C,"")</f>
        <v/>
      </c>
      <c r="G175" t="str">
        <f>_xlfn.XLOOKUP(Table1[[#This Row],[PEP]],CatPEP!C:C,CatPEP!D:D,"")</f>
        <v/>
      </c>
      <c r="O175" s="53">
        <f>SUMIF('Registro Refacciones'!B:B, I175, 'Registro Refacciones'!I:I)</f>
        <v>0</v>
      </c>
      <c r="P175" s="26">
        <f>Table1[[#This Row],[Costo Servicio]]+Table1[[#This Row],[Refacciones]]</f>
        <v>0</v>
      </c>
      <c r="Q175" s="26"/>
    </row>
    <row r="176" spans="1:17">
      <c r="A176" s="37" t="str">
        <f>IF(Table1[[#This Row],[Tipo de Servicio]]="","",Caratula!$D$15)</f>
        <v/>
      </c>
      <c r="B176" s="37" t="str">
        <f>IF(Table1[[#This Row],[Tipo de Servicio]]="","",Caratula!$D$16)</f>
        <v/>
      </c>
      <c r="C176" s="24" t="str">
        <f>IF(Table1[[#This Row],[Tipo de Servicio]]="","",Caratula!$D$17)</f>
        <v/>
      </c>
      <c r="D176" s="38" t="str">
        <f>IF(ISBLANK(Table1[[#This Row],[Tipo de Servicio]]),"",Caratula!$D$16)</f>
        <v/>
      </c>
      <c r="F176" t="str">
        <f>_xlfn.XLOOKUP(Table1[[#This Row],[SelGZ]]&amp;Table1[[#This Row],[Tipo de Servicio]],CatPEP!A:A,CatPEP!C:C,"")</f>
        <v/>
      </c>
      <c r="G176" t="str">
        <f>_xlfn.XLOOKUP(Table1[[#This Row],[PEP]],CatPEP!C:C,CatPEP!D:D,"")</f>
        <v/>
      </c>
      <c r="O176" s="53">
        <f>SUMIF('Registro Refacciones'!B:B, I176, 'Registro Refacciones'!I:I)</f>
        <v>0</v>
      </c>
      <c r="P176" s="26">
        <f>Table1[[#This Row],[Costo Servicio]]+Table1[[#This Row],[Refacciones]]</f>
        <v>0</v>
      </c>
      <c r="Q176" s="26"/>
    </row>
    <row r="177" spans="1:17">
      <c r="A177" s="37" t="str">
        <f>IF(Table1[[#This Row],[Tipo de Servicio]]="","",Caratula!$D$15)</f>
        <v/>
      </c>
      <c r="B177" s="37" t="str">
        <f>IF(Table1[[#This Row],[Tipo de Servicio]]="","",Caratula!$D$16)</f>
        <v/>
      </c>
      <c r="C177" s="24" t="str">
        <f>IF(Table1[[#This Row],[Tipo de Servicio]]="","",Caratula!$D$17)</f>
        <v/>
      </c>
      <c r="D177" s="38" t="str">
        <f>IF(ISBLANK(Table1[[#This Row],[Tipo de Servicio]]),"",Caratula!$D$16)</f>
        <v/>
      </c>
      <c r="F177" t="str">
        <f>_xlfn.XLOOKUP(Table1[[#This Row],[SelGZ]]&amp;Table1[[#This Row],[Tipo de Servicio]],CatPEP!A:A,CatPEP!C:C,"")</f>
        <v/>
      </c>
      <c r="G177" t="str">
        <f>_xlfn.XLOOKUP(Table1[[#This Row],[PEP]],CatPEP!C:C,CatPEP!D:D,"")</f>
        <v/>
      </c>
      <c r="O177" s="53">
        <f>SUMIF('Registro Refacciones'!B:B, I177, 'Registro Refacciones'!I:I)</f>
        <v>0</v>
      </c>
      <c r="P177" s="26">
        <f>Table1[[#This Row],[Costo Servicio]]+Table1[[#This Row],[Refacciones]]</f>
        <v>0</v>
      </c>
      <c r="Q177" s="26"/>
    </row>
    <row r="178" spans="1:17">
      <c r="A178" s="37" t="str">
        <f>IF(Table1[[#This Row],[Tipo de Servicio]]="","",Caratula!$D$15)</f>
        <v/>
      </c>
      <c r="B178" s="37" t="str">
        <f>IF(Table1[[#This Row],[Tipo de Servicio]]="","",Caratula!$D$16)</f>
        <v/>
      </c>
      <c r="C178" s="24" t="str">
        <f>IF(Table1[[#This Row],[Tipo de Servicio]]="","",Caratula!$D$17)</f>
        <v/>
      </c>
      <c r="D178" s="38" t="str">
        <f>IF(ISBLANK(Table1[[#This Row],[Tipo de Servicio]]),"",Caratula!$D$16)</f>
        <v/>
      </c>
      <c r="F178" t="str">
        <f>_xlfn.XLOOKUP(Table1[[#This Row],[SelGZ]]&amp;Table1[[#This Row],[Tipo de Servicio]],CatPEP!A:A,CatPEP!C:C,"")</f>
        <v/>
      </c>
      <c r="G178" t="str">
        <f>_xlfn.XLOOKUP(Table1[[#This Row],[PEP]],CatPEP!C:C,CatPEP!D:D,"")</f>
        <v/>
      </c>
      <c r="O178" s="53">
        <f>SUMIF('Registro Refacciones'!B:B, I178, 'Registro Refacciones'!I:I)</f>
        <v>0</v>
      </c>
      <c r="P178" s="26">
        <f>Table1[[#This Row],[Costo Servicio]]+Table1[[#This Row],[Refacciones]]</f>
        <v>0</v>
      </c>
      <c r="Q178" s="26"/>
    </row>
    <row r="179" spans="1:17">
      <c r="A179" s="37" t="str">
        <f>IF(Table1[[#This Row],[Tipo de Servicio]]="","",Caratula!$D$15)</f>
        <v/>
      </c>
      <c r="B179" s="37" t="str">
        <f>IF(Table1[[#This Row],[Tipo de Servicio]]="","",Caratula!$D$16)</f>
        <v/>
      </c>
      <c r="C179" s="24" t="str">
        <f>IF(Table1[[#This Row],[Tipo de Servicio]]="","",Caratula!$D$17)</f>
        <v/>
      </c>
      <c r="D179" s="38" t="str">
        <f>IF(ISBLANK(Table1[[#This Row],[Tipo de Servicio]]),"",Caratula!$D$16)</f>
        <v/>
      </c>
      <c r="F179" t="str">
        <f>_xlfn.XLOOKUP(Table1[[#This Row],[SelGZ]]&amp;Table1[[#This Row],[Tipo de Servicio]],CatPEP!A:A,CatPEP!C:C,"")</f>
        <v/>
      </c>
      <c r="G179" t="str">
        <f>_xlfn.XLOOKUP(Table1[[#This Row],[PEP]],CatPEP!C:C,CatPEP!D:D,"")</f>
        <v/>
      </c>
      <c r="O179" s="53">
        <f>SUMIF('Registro Refacciones'!B:B, I179, 'Registro Refacciones'!I:I)</f>
        <v>0</v>
      </c>
      <c r="P179" s="26">
        <f>Table1[[#This Row],[Costo Servicio]]+Table1[[#This Row],[Refacciones]]</f>
        <v>0</v>
      </c>
      <c r="Q179" s="26"/>
    </row>
    <row r="180" spans="1:17">
      <c r="A180" s="37" t="str">
        <f>IF(Table1[[#This Row],[Tipo de Servicio]]="","",Caratula!$D$15)</f>
        <v/>
      </c>
      <c r="B180" s="37" t="str">
        <f>IF(Table1[[#This Row],[Tipo de Servicio]]="","",Caratula!$D$16)</f>
        <v/>
      </c>
      <c r="C180" s="24" t="str">
        <f>IF(Table1[[#This Row],[Tipo de Servicio]]="","",Caratula!$D$17)</f>
        <v/>
      </c>
      <c r="D180" s="38" t="str">
        <f>IF(ISBLANK(Table1[[#This Row],[Tipo de Servicio]]),"",Caratula!$D$16)</f>
        <v/>
      </c>
      <c r="F180" t="str">
        <f>_xlfn.XLOOKUP(Table1[[#This Row],[SelGZ]]&amp;Table1[[#This Row],[Tipo de Servicio]],CatPEP!A:A,CatPEP!C:C,"")</f>
        <v/>
      </c>
      <c r="G180" t="str">
        <f>_xlfn.XLOOKUP(Table1[[#This Row],[PEP]],CatPEP!C:C,CatPEP!D:D,"")</f>
        <v/>
      </c>
      <c r="O180" s="53">
        <f>SUMIF('Registro Refacciones'!B:B, I180, 'Registro Refacciones'!I:I)</f>
        <v>0</v>
      </c>
      <c r="P180" s="26">
        <f>Table1[[#This Row],[Costo Servicio]]+Table1[[#This Row],[Refacciones]]</f>
        <v>0</v>
      </c>
      <c r="Q180" s="26"/>
    </row>
    <row r="181" spans="1:17">
      <c r="A181" s="37" t="str">
        <f>IF(Table1[[#This Row],[Tipo de Servicio]]="","",Caratula!$D$15)</f>
        <v/>
      </c>
      <c r="B181" s="37" t="str">
        <f>IF(Table1[[#This Row],[Tipo de Servicio]]="","",Caratula!$D$16)</f>
        <v/>
      </c>
      <c r="C181" s="24" t="str">
        <f>IF(Table1[[#This Row],[Tipo de Servicio]]="","",Caratula!$D$17)</f>
        <v/>
      </c>
      <c r="D181" s="38" t="str">
        <f>IF(ISBLANK(Table1[[#This Row],[Tipo de Servicio]]),"",Caratula!$D$16)</f>
        <v/>
      </c>
      <c r="F181" t="str">
        <f>_xlfn.XLOOKUP(Table1[[#This Row],[SelGZ]]&amp;Table1[[#This Row],[Tipo de Servicio]],CatPEP!A:A,CatPEP!C:C,"")</f>
        <v/>
      </c>
      <c r="G181" t="str">
        <f>_xlfn.XLOOKUP(Table1[[#This Row],[PEP]],CatPEP!C:C,CatPEP!D:D,"")</f>
        <v/>
      </c>
      <c r="O181" s="53">
        <f>SUMIF('Registro Refacciones'!B:B, I181, 'Registro Refacciones'!I:I)</f>
        <v>0</v>
      </c>
      <c r="P181" s="26">
        <f>Table1[[#This Row],[Costo Servicio]]+Table1[[#This Row],[Refacciones]]</f>
        <v>0</v>
      </c>
      <c r="Q181" s="26"/>
    </row>
    <row r="182" spans="1:17">
      <c r="A182" s="37" t="str">
        <f>IF(Table1[[#This Row],[Tipo de Servicio]]="","",Caratula!$D$15)</f>
        <v/>
      </c>
      <c r="B182" s="37" t="str">
        <f>IF(Table1[[#This Row],[Tipo de Servicio]]="","",Caratula!$D$16)</f>
        <v/>
      </c>
      <c r="C182" s="24" t="str">
        <f>IF(Table1[[#This Row],[Tipo de Servicio]]="","",Caratula!$D$17)</f>
        <v/>
      </c>
      <c r="D182" s="38" t="str">
        <f>IF(ISBLANK(Table1[[#This Row],[Tipo de Servicio]]),"",Caratula!$D$16)</f>
        <v/>
      </c>
      <c r="F182" t="str">
        <f>_xlfn.XLOOKUP(Table1[[#This Row],[SelGZ]]&amp;Table1[[#This Row],[Tipo de Servicio]],CatPEP!A:A,CatPEP!C:C,"")</f>
        <v/>
      </c>
      <c r="G182" t="str">
        <f>_xlfn.XLOOKUP(Table1[[#This Row],[PEP]],CatPEP!C:C,CatPEP!D:D,"")</f>
        <v/>
      </c>
      <c r="O182" s="53">
        <f>SUMIF('Registro Refacciones'!B:B, I182, 'Registro Refacciones'!I:I)</f>
        <v>0</v>
      </c>
      <c r="P182" s="26">
        <f>Table1[[#This Row],[Costo Servicio]]+Table1[[#This Row],[Refacciones]]</f>
        <v>0</v>
      </c>
      <c r="Q182" s="26"/>
    </row>
    <row r="183" spans="1:17">
      <c r="A183" s="37" t="str">
        <f>IF(Table1[[#This Row],[Tipo de Servicio]]="","",Caratula!$D$15)</f>
        <v/>
      </c>
      <c r="B183" s="37" t="str">
        <f>IF(Table1[[#This Row],[Tipo de Servicio]]="","",Caratula!$D$16)</f>
        <v/>
      </c>
      <c r="C183" s="24" t="str">
        <f>IF(Table1[[#This Row],[Tipo de Servicio]]="","",Caratula!$D$17)</f>
        <v/>
      </c>
      <c r="D183" s="38" t="str">
        <f>IF(ISBLANK(Table1[[#This Row],[Tipo de Servicio]]),"",Caratula!$D$16)</f>
        <v/>
      </c>
      <c r="F183" t="str">
        <f>_xlfn.XLOOKUP(Table1[[#This Row],[SelGZ]]&amp;Table1[[#This Row],[Tipo de Servicio]],CatPEP!A:A,CatPEP!C:C,"")</f>
        <v/>
      </c>
      <c r="G183" t="str">
        <f>_xlfn.XLOOKUP(Table1[[#This Row],[PEP]],CatPEP!C:C,CatPEP!D:D,"")</f>
        <v/>
      </c>
      <c r="O183" s="53">
        <f>SUMIF('Registro Refacciones'!B:B, I183, 'Registro Refacciones'!I:I)</f>
        <v>0</v>
      </c>
      <c r="P183" s="26">
        <f>Table1[[#This Row],[Costo Servicio]]+Table1[[#This Row],[Refacciones]]</f>
        <v>0</v>
      </c>
      <c r="Q183" s="26"/>
    </row>
    <row r="184" spans="1:17">
      <c r="A184" s="37" t="str">
        <f>IF(Table1[[#This Row],[Tipo de Servicio]]="","",Caratula!$D$15)</f>
        <v/>
      </c>
      <c r="B184" s="37" t="str">
        <f>IF(Table1[[#This Row],[Tipo de Servicio]]="","",Caratula!$D$16)</f>
        <v/>
      </c>
      <c r="C184" s="24" t="str">
        <f>IF(Table1[[#This Row],[Tipo de Servicio]]="","",Caratula!$D$17)</f>
        <v/>
      </c>
      <c r="D184" s="38" t="str">
        <f>IF(ISBLANK(Table1[[#This Row],[Tipo de Servicio]]),"",Caratula!$D$16)</f>
        <v/>
      </c>
      <c r="F184" t="str">
        <f>_xlfn.XLOOKUP(Table1[[#This Row],[SelGZ]]&amp;Table1[[#This Row],[Tipo de Servicio]],CatPEP!A:A,CatPEP!C:C,"")</f>
        <v/>
      </c>
      <c r="G184" t="str">
        <f>_xlfn.XLOOKUP(Table1[[#This Row],[PEP]],CatPEP!C:C,CatPEP!D:D,"")</f>
        <v/>
      </c>
      <c r="O184" s="53">
        <f>SUMIF('Registro Refacciones'!B:B, I184, 'Registro Refacciones'!I:I)</f>
        <v>0</v>
      </c>
      <c r="P184" s="26">
        <f>Table1[[#This Row],[Costo Servicio]]+Table1[[#This Row],[Refacciones]]</f>
        <v>0</v>
      </c>
      <c r="Q184" s="26"/>
    </row>
    <row r="185" spans="1:17">
      <c r="A185" s="37" t="str">
        <f>IF(Table1[[#This Row],[Tipo de Servicio]]="","",Caratula!$D$15)</f>
        <v/>
      </c>
      <c r="B185" s="37" t="str">
        <f>IF(Table1[[#This Row],[Tipo de Servicio]]="","",Caratula!$D$16)</f>
        <v/>
      </c>
      <c r="C185" s="24" t="str">
        <f>IF(Table1[[#This Row],[Tipo de Servicio]]="","",Caratula!$D$17)</f>
        <v/>
      </c>
      <c r="D185" s="38" t="str">
        <f>IF(ISBLANK(Table1[[#This Row],[Tipo de Servicio]]),"",Caratula!$D$16)</f>
        <v/>
      </c>
      <c r="F185" t="str">
        <f>_xlfn.XLOOKUP(Table1[[#This Row],[SelGZ]]&amp;Table1[[#This Row],[Tipo de Servicio]],CatPEP!A:A,CatPEP!C:C,"")</f>
        <v/>
      </c>
      <c r="G185" t="str">
        <f>_xlfn.XLOOKUP(Table1[[#This Row],[PEP]],CatPEP!C:C,CatPEP!D:D,"")</f>
        <v/>
      </c>
      <c r="O185" s="53">
        <f>SUMIF('Registro Refacciones'!B:B, I185, 'Registro Refacciones'!I:I)</f>
        <v>0</v>
      </c>
      <c r="P185" s="26">
        <f>Table1[[#This Row],[Costo Servicio]]+Table1[[#This Row],[Refacciones]]</f>
        <v>0</v>
      </c>
      <c r="Q185" s="26"/>
    </row>
    <row r="186" spans="1:17">
      <c r="A186" s="37" t="str">
        <f>IF(Table1[[#This Row],[Tipo de Servicio]]="","",Caratula!$D$15)</f>
        <v/>
      </c>
      <c r="B186" s="37" t="str">
        <f>IF(Table1[[#This Row],[Tipo de Servicio]]="","",Caratula!$D$16)</f>
        <v/>
      </c>
      <c r="C186" s="24" t="str">
        <f>IF(Table1[[#This Row],[Tipo de Servicio]]="","",Caratula!$D$17)</f>
        <v/>
      </c>
      <c r="D186" s="38" t="str">
        <f>IF(ISBLANK(Table1[[#This Row],[Tipo de Servicio]]),"",Caratula!$D$16)</f>
        <v/>
      </c>
      <c r="F186" t="str">
        <f>_xlfn.XLOOKUP(Table1[[#This Row],[SelGZ]]&amp;Table1[[#This Row],[Tipo de Servicio]],CatPEP!A:A,CatPEP!C:C,"")</f>
        <v/>
      </c>
      <c r="G186" t="str">
        <f>_xlfn.XLOOKUP(Table1[[#This Row],[PEP]],CatPEP!C:C,CatPEP!D:D,"")</f>
        <v/>
      </c>
      <c r="O186" s="53">
        <f>SUMIF('Registro Refacciones'!B:B, I186, 'Registro Refacciones'!I:I)</f>
        <v>0</v>
      </c>
      <c r="P186" s="26">
        <f>Table1[[#This Row],[Costo Servicio]]+Table1[[#This Row],[Refacciones]]</f>
        <v>0</v>
      </c>
      <c r="Q186" s="26"/>
    </row>
    <row r="187" spans="1:17">
      <c r="A187" s="37" t="str">
        <f>IF(Table1[[#This Row],[Tipo de Servicio]]="","",Caratula!$D$15)</f>
        <v/>
      </c>
      <c r="B187" s="37" t="str">
        <f>IF(Table1[[#This Row],[Tipo de Servicio]]="","",Caratula!$D$16)</f>
        <v/>
      </c>
      <c r="C187" s="24" t="str">
        <f>IF(Table1[[#This Row],[Tipo de Servicio]]="","",Caratula!$D$17)</f>
        <v/>
      </c>
      <c r="D187" s="38" t="str">
        <f>IF(ISBLANK(Table1[[#This Row],[Tipo de Servicio]]),"",Caratula!$D$16)</f>
        <v/>
      </c>
      <c r="F187" t="str">
        <f>_xlfn.XLOOKUP(Table1[[#This Row],[SelGZ]]&amp;Table1[[#This Row],[Tipo de Servicio]],CatPEP!A:A,CatPEP!C:C,"")</f>
        <v/>
      </c>
      <c r="G187" t="str">
        <f>_xlfn.XLOOKUP(Table1[[#This Row],[PEP]],CatPEP!C:C,CatPEP!D:D,"")</f>
        <v/>
      </c>
      <c r="O187" s="53">
        <f>SUMIF('Registro Refacciones'!B:B, I187, 'Registro Refacciones'!I:I)</f>
        <v>0</v>
      </c>
      <c r="P187" s="26">
        <f>Table1[[#This Row],[Costo Servicio]]+Table1[[#This Row],[Refacciones]]</f>
        <v>0</v>
      </c>
      <c r="Q187" s="26"/>
    </row>
    <row r="188" spans="1:17">
      <c r="A188" s="37" t="str">
        <f>IF(Table1[[#This Row],[Tipo de Servicio]]="","",Caratula!$D$15)</f>
        <v/>
      </c>
      <c r="B188" s="37" t="str">
        <f>IF(Table1[[#This Row],[Tipo de Servicio]]="","",Caratula!$D$16)</f>
        <v/>
      </c>
      <c r="C188" s="24" t="str">
        <f>IF(Table1[[#This Row],[Tipo de Servicio]]="","",Caratula!$D$17)</f>
        <v/>
      </c>
      <c r="D188" s="38" t="str">
        <f>IF(ISBLANK(Table1[[#This Row],[Tipo de Servicio]]),"",Caratula!$D$16)</f>
        <v/>
      </c>
      <c r="F188" t="str">
        <f>_xlfn.XLOOKUP(Table1[[#This Row],[SelGZ]]&amp;Table1[[#This Row],[Tipo de Servicio]],CatPEP!A:A,CatPEP!C:C,"")</f>
        <v/>
      </c>
      <c r="G188" t="str">
        <f>_xlfn.XLOOKUP(Table1[[#This Row],[PEP]],CatPEP!C:C,CatPEP!D:D,"")</f>
        <v/>
      </c>
      <c r="O188" s="53">
        <f>SUMIF('Registro Refacciones'!B:B, I188, 'Registro Refacciones'!I:I)</f>
        <v>0</v>
      </c>
      <c r="P188" s="26">
        <f>Table1[[#This Row],[Costo Servicio]]+Table1[[#This Row],[Refacciones]]</f>
        <v>0</v>
      </c>
      <c r="Q188" s="26"/>
    </row>
    <row r="189" spans="1:17">
      <c r="A189" s="37" t="str">
        <f>IF(Table1[[#This Row],[Tipo de Servicio]]="","",Caratula!$D$15)</f>
        <v/>
      </c>
      <c r="B189" s="37" t="str">
        <f>IF(Table1[[#This Row],[Tipo de Servicio]]="","",Caratula!$D$16)</f>
        <v/>
      </c>
      <c r="C189" s="24" t="str">
        <f>IF(Table1[[#This Row],[Tipo de Servicio]]="","",Caratula!$D$17)</f>
        <v/>
      </c>
      <c r="D189" s="38" t="str">
        <f>IF(ISBLANK(Table1[[#This Row],[Tipo de Servicio]]),"",Caratula!$D$16)</f>
        <v/>
      </c>
      <c r="F189" t="str">
        <f>_xlfn.XLOOKUP(Table1[[#This Row],[SelGZ]]&amp;Table1[[#This Row],[Tipo de Servicio]],CatPEP!A:A,CatPEP!C:C,"")</f>
        <v/>
      </c>
      <c r="G189" t="str">
        <f>_xlfn.XLOOKUP(Table1[[#This Row],[PEP]],CatPEP!C:C,CatPEP!D:D,"")</f>
        <v/>
      </c>
      <c r="O189" s="53">
        <f>SUMIF('Registro Refacciones'!B:B, I189, 'Registro Refacciones'!I:I)</f>
        <v>0</v>
      </c>
      <c r="P189" s="26">
        <f>Table1[[#This Row],[Costo Servicio]]+Table1[[#This Row],[Refacciones]]</f>
        <v>0</v>
      </c>
      <c r="Q189" s="26"/>
    </row>
    <row r="190" spans="1:17">
      <c r="A190" s="37" t="str">
        <f>IF(Table1[[#This Row],[Tipo de Servicio]]="","",Caratula!$D$15)</f>
        <v/>
      </c>
      <c r="B190" s="37" t="str">
        <f>IF(Table1[[#This Row],[Tipo de Servicio]]="","",Caratula!$D$16)</f>
        <v/>
      </c>
      <c r="C190" s="24" t="str">
        <f>IF(Table1[[#This Row],[Tipo de Servicio]]="","",Caratula!$D$17)</f>
        <v/>
      </c>
      <c r="D190" s="38" t="str">
        <f>IF(ISBLANK(Table1[[#This Row],[Tipo de Servicio]]),"",Caratula!$D$16)</f>
        <v/>
      </c>
      <c r="F190" t="str">
        <f>_xlfn.XLOOKUP(Table1[[#This Row],[SelGZ]]&amp;Table1[[#This Row],[Tipo de Servicio]],CatPEP!A:A,CatPEP!C:C,"")</f>
        <v/>
      </c>
      <c r="G190" t="str">
        <f>_xlfn.XLOOKUP(Table1[[#This Row],[PEP]],CatPEP!C:C,CatPEP!D:D,"")</f>
        <v/>
      </c>
      <c r="O190" s="53">
        <f>SUMIF('Registro Refacciones'!B:B, I190, 'Registro Refacciones'!I:I)</f>
        <v>0</v>
      </c>
      <c r="P190" s="26">
        <f>Table1[[#This Row],[Costo Servicio]]+Table1[[#This Row],[Refacciones]]</f>
        <v>0</v>
      </c>
      <c r="Q190" s="26"/>
    </row>
    <row r="191" spans="1:17">
      <c r="A191" s="37" t="str">
        <f>IF(Table1[[#This Row],[Tipo de Servicio]]="","",Caratula!$D$15)</f>
        <v/>
      </c>
      <c r="B191" s="37" t="str">
        <f>IF(Table1[[#This Row],[Tipo de Servicio]]="","",Caratula!$D$16)</f>
        <v/>
      </c>
      <c r="C191" s="24" t="str">
        <f>IF(Table1[[#This Row],[Tipo de Servicio]]="","",Caratula!$D$17)</f>
        <v/>
      </c>
      <c r="D191" s="38" t="str">
        <f>IF(ISBLANK(Table1[[#This Row],[Tipo de Servicio]]),"",Caratula!$D$16)</f>
        <v/>
      </c>
      <c r="F191" t="str">
        <f>_xlfn.XLOOKUP(Table1[[#This Row],[SelGZ]]&amp;Table1[[#This Row],[Tipo de Servicio]],CatPEP!A:A,CatPEP!C:C,"")</f>
        <v/>
      </c>
      <c r="G191" t="str">
        <f>_xlfn.XLOOKUP(Table1[[#This Row],[PEP]],CatPEP!C:C,CatPEP!D:D,"")</f>
        <v/>
      </c>
      <c r="O191" s="53">
        <f>SUMIF('Registro Refacciones'!B:B, I191, 'Registro Refacciones'!I:I)</f>
        <v>0</v>
      </c>
      <c r="P191" s="26">
        <f>Table1[[#This Row],[Costo Servicio]]+Table1[[#This Row],[Refacciones]]</f>
        <v>0</v>
      </c>
      <c r="Q191" s="26"/>
    </row>
    <row r="192" spans="1:17">
      <c r="A192" s="37" t="str">
        <f>IF(Table1[[#This Row],[Tipo de Servicio]]="","",Caratula!$D$15)</f>
        <v/>
      </c>
      <c r="B192" s="37" t="str">
        <f>IF(Table1[[#This Row],[Tipo de Servicio]]="","",Caratula!$D$16)</f>
        <v/>
      </c>
      <c r="C192" s="24" t="str">
        <f>IF(Table1[[#This Row],[Tipo de Servicio]]="","",Caratula!$D$17)</f>
        <v/>
      </c>
      <c r="D192" s="38" t="str">
        <f>IF(ISBLANK(Table1[[#This Row],[Tipo de Servicio]]),"",Caratula!$D$16)</f>
        <v/>
      </c>
      <c r="F192" t="str">
        <f>_xlfn.XLOOKUP(Table1[[#This Row],[SelGZ]]&amp;Table1[[#This Row],[Tipo de Servicio]],CatPEP!A:A,CatPEP!C:C,"")</f>
        <v/>
      </c>
      <c r="G192" t="str">
        <f>_xlfn.XLOOKUP(Table1[[#This Row],[PEP]],CatPEP!C:C,CatPEP!D:D,"")</f>
        <v/>
      </c>
      <c r="O192" s="53">
        <f>SUMIF('Registro Refacciones'!B:B, I192, 'Registro Refacciones'!I:I)</f>
        <v>0</v>
      </c>
      <c r="P192" s="26">
        <f>Table1[[#This Row],[Costo Servicio]]+Table1[[#This Row],[Refacciones]]</f>
        <v>0</v>
      </c>
      <c r="Q192" s="26"/>
    </row>
    <row r="193" spans="1:17">
      <c r="A193" s="37" t="str">
        <f>IF(Table1[[#This Row],[Tipo de Servicio]]="","",Caratula!$D$15)</f>
        <v/>
      </c>
      <c r="B193" s="37" t="str">
        <f>IF(Table1[[#This Row],[Tipo de Servicio]]="","",Caratula!$D$16)</f>
        <v/>
      </c>
      <c r="C193" s="24" t="str">
        <f>IF(Table1[[#This Row],[Tipo de Servicio]]="","",Caratula!$D$17)</f>
        <v/>
      </c>
      <c r="D193" s="38" t="str">
        <f>IF(ISBLANK(Table1[[#This Row],[Tipo de Servicio]]),"",Caratula!$D$16)</f>
        <v/>
      </c>
      <c r="F193" t="str">
        <f>_xlfn.XLOOKUP(Table1[[#This Row],[SelGZ]]&amp;Table1[[#This Row],[Tipo de Servicio]],CatPEP!A:A,CatPEP!C:C,"")</f>
        <v/>
      </c>
      <c r="G193" t="str">
        <f>_xlfn.XLOOKUP(Table1[[#This Row],[PEP]],CatPEP!C:C,CatPEP!D:D,"")</f>
        <v/>
      </c>
      <c r="O193" s="53">
        <f>SUMIF('Registro Refacciones'!B:B, I193, 'Registro Refacciones'!I:I)</f>
        <v>0</v>
      </c>
      <c r="P193" s="26">
        <f>Table1[[#This Row],[Costo Servicio]]+Table1[[#This Row],[Refacciones]]</f>
        <v>0</v>
      </c>
      <c r="Q193" s="26"/>
    </row>
    <row r="194" spans="1:17">
      <c r="A194" s="37" t="str">
        <f>IF(Table1[[#This Row],[Tipo de Servicio]]="","",Caratula!$D$15)</f>
        <v/>
      </c>
      <c r="B194" s="37" t="str">
        <f>IF(Table1[[#This Row],[Tipo de Servicio]]="","",Caratula!$D$16)</f>
        <v/>
      </c>
      <c r="C194" s="24" t="str">
        <f>IF(Table1[[#This Row],[Tipo de Servicio]]="","",Caratula!$D$17)</f>
        <v/>
      </c>
      <c r="D194" s="38" t="str">
        <f>IF(ISBLANK(Table1[[#This Row],[Tipo de Servicio]]),"",Caratula!$D$16)</f>
        <v/>
      </c>
      <c r="F194" t="str">
        <f>_xlfn.XLOOKUP(Table1[[#This Row],[SelGZ]]&amp;Table1[[#This Row],[Tipo de Servicio]],CatPEP!A:A,CatPEP!C:C,"")</f>
        <v/>
      </c>
      <c r="G194" t="str">
        <f>_xlfn.XLOOKUP(Table1[[#This Row],[PEP]],CatPEP!C:C,CatPEP!D:D,"")</f>
        <v/>
      </c>
      <c r="O194" s="53">
        <f>SUMIF('Registro Refacciones'!B:B, I194, 'Registro Refacciones'!I:I)</f>
        <v>0</v>
      </c>
      <c r="P194" s="26">
        <f>Table1[[#This Row],[Costo Servicio]]+Table1[[#This Row],[Refacciones]]</f>
        <v>0</v>
      </c>
      <c r="Q194" s="26"/>
    </row>
    <row r="195" spans="1:17">
      <c r="A195" s="37" t="str">
        <f>IF(Table1[[#This Row],[Tipo de Servicio]]="","",Caratula!$D$15)</f>
        <v/>
      </c>
      <c r="B195" s="37" t="str">
        <f>IF(Table1[[#This Row],[Tipo de Servicio]]="","",Caratula!$D$16)</f>
        <v/>
      </c>
      <c r="C195" s="24" t="str">
        <f>IF(Table1[[#This Row],[Tipo de Servicio]]="","",Caratula!$D$17)</f>
        <v/>
      </c>
      <c r="D195" s="38" t="str">
        <f>IF(ISBLANK(Table1[[#This Row],[Tipo de Servicio]]),"",Caratula!$D$16)</f>
        <v/>
      </c>
      <c r="F195" t="str">
        <f>_xlfn.XLOOKUP(Table1[[#This Row],[SelGZ]]&amp;Table1[[#This Row],[Tipo de Servicio]],CatPEP!A:A,CatPEP!C:C,"")</f>
        <v/>
      </c>
      <c r="G195" t="str">
        <f>_xlfn.XLOOKUP(Table1[[#This Row],[PEP]],CatPEP!C:C,CatPEP!D:D,"")</f>
        <v/>
      </c>
      <c r="O195" s="53">
        <f>SUMIF('Registro Refacciones'!B:B, I195, 'Registro Refacciones'!I:I)</f>
        <v>0</v>
      </c>
      <c r="P195" s="26">
        <f>Table1[[#This Row],[Costo Servicio]]+Table1[[#This Row],[Refacciones]]</f>
        <v>0</v>
      </c>
      <c r="Q195" s="26"/>
    </row>
    <row r="196" spans="1:17">
      <c r="A196" s="37" t="str">
        <f>IF(Table1[[#This Row],[Tipo de Servicio]]="","",Caratula!$D$15)</f>
        <v/>
      </c>
      <c r="B196" s="37" t="str">
        <f>IF(Table1[[#This Row],[Tipo de Servicio]]="","",Caratula!$D$16)</f>
        <v/>
      </c>
      <c r="C196" s="24" t="str">
        <f>IF(Table1[[#This Row],[Tipo de Servicio]]="","",Caratula!$D$17)</f>
        <v/>
      </c>
      <c r="D196" s="38" t="str">
        <f>IF(ISBLANK(Table1[[#This Row],[Tipo de Servicio]]),"",Caratula!$D$16)</f>
        <v/>
      </c>
      <c r="F196" t="str">
        <f>_xlfn.XLOOKUP(Table1[[#This Row],[SelGZ]]&amp;Table1[[#This Row],[Tipo de Servicio]],CatPEP!A:A,CatPEP!C:C,"")</f>
        <v/>
      </c>
      <c r="G196" t="str">
        <f>_xlfn.XLOOKUP(Table1[[#This Row],[PEP]],CatPEP!C:C,CatPEP!D:D,"")</f>
        <v/>
      </c>
      <c r="O196" s="53">
        <f>SUMIF('Registro Refacciones'!B:B, I196, 'Registro Refacciones'!I:I)</f>
        <v>0</v>
      </c>
      <c r="P196" s="26">
        <f>Table1[[#This Row],[Costo Servicio]]+Table1[[#This Row],[Refacciones]]</f>
        <v>0</v>
      </c>
      <c r="Q196" s="26"/>
    </row>
    <row r="197" spans="1:17">
      <c r="A197" s="37" t="str">
        <f>IF(Table1[[#This Row],[Tipo de Servicio]]="","",Caratula!$D$15)</f>
        <v/>
      </c>
      <c r="B197" s="37" t="str">
        <f>IF(Table1[[#This Row],[Tipo de Servicio]]="","",Caratula!$D$16)</f>
        <v/>
      </c>
      <c r="C197" s="24" t="str">
        <f>IF(Table1[[#This Row],[Tipo de Servicio]]="","",Caratula!$D$17)</f>
        <v/>
      </c>
      <c r="D197" s="38" t="str">
        <f>IF(ISBLANK(Table1[[#This Row],[Tipo de Servicio]]),"",Caratula!$D$16)</f>
        <v/>
      </c>
      <c r="F197" t="str">
        <f>_xlfn.XLOOKUP(Table1[[#This Row],[SelGZ]]&amp;Table1[[#This Row],[Tipo de Servicio]],CatPEP!A:A,CatPEP!C:C,"")</f>
        <v/>
      </c>
      <c r="G197" t="str">
        <f>_xlfn.XLOOKUP(Table1[[#This Row],[PEP]],CatPEP!C:C,CatPEP!D:D,"")</f>
        <v/>
      </c>
      <c r="O197" s="53">
        <f>SUMIF('Registro Refacciones'!B:B, I197, 'Registro Refacciones'!I:I)</f>
        <v>0</v>
      </c>
      <c r="P197" s="26">
        <f>Table1[[#This Row],[Costo Servicio]]+Table1[[#This Row],[Refacciones]]</f>
        <v>0</v>
      </c>
      <c r="Q197" s="26"/>
    </row>
    <row r="198" spans="1:17">
      <c r="A198" s="37" t="str">
        <f>IF(Table1[[#This Row],[Tipo de Servicio]]="","",Caratula!$D$15)</f>
        <v/>
      </c>
      <c r="B198" s="37" t="str">
        <f>IF(Table1[[#This Row],[Tipo de Servicio]]="","",Caratula!$D$16)</f>
        <v/>
      </c>
      <c r="C198" s="24" t="str">
        <f>IF(Table1[[#This Row],[Tipo de Servicio]]="","",Caratula!$D$17)</f>
        <v/>
      </c>
      <c r="D198" s="38" t="str">
        <f>IF(ISBLANK(Table1[[#This Row],[Tipo de Servicio]]),"",Caratula!$D$16)</f>
        <v/>
      </c>
      <c r="F198" t="str">
        <f>_xlfn.XLOOKUP(Table1[[#This Row],[SelGZ]]&amp;Table1[[#This Row],[Tipo de Servicio]],CatPEP!A:A,CatPEP!C:C,"")</f>
        <v/>
      </c>
      <c r="G198" t="str">
        <f>_xlfn.XLOOKUP(Table1[[#This Row],[PEP]],CatPEP!C:C,CatPEP!D:D,"")</f>
        <v/>
      </c>
      <c r="O198" s="53">
        <f>SUMIF('Registro Refacciones'!B:B, I198, 'Registro Refacciones'!I:I)</f>
        <v>0</v>
      </c>
      <c r="P198" s="26">
        <f>Table1[[#This Row],[Costo Servicio]]+Table1[[#This Row],[Refacciones]]</f>
        <v>0</v>
      </c>
      <c r="Q198" s="26"/>
    </row>
    <row r="199" spans="1:17">
      <c r="A199" s="37" t="str">
        <f>IF(Table1[[#This Row],[Tipo de Servicio]]="","",Caratula!$D$15)</f>
        <v/>
      </c>
      <c r="B199" s="37" t="str">
        <f>IF(Table1[[#This Row],[Tipo de Servicio]]="","",Caratula!$D$16)</f>
        <v/>
      </c>
      <c r="C199" s="24" t="str">
        <f>IF(Table1[[#This Row],[Tipo de Servicio]]="","",Caratula!$D$17)</f>
        <v/>
      </c>
      <c r="D199" s="38" t="str">
        <f>IF(ISBLANK(Table1[[#This Row],[Tipo de Servicio]]),"",Caratula!$D$16)</f>
        <v/>
      </c>
      <c r="F199" t="str">
        <f>_xlfn.XLOOKUP(Table1[[#This Row],[SelGZ]]&amp;Table1[[#This Row],[Tipo de Servicio]],CatPEP!A:A,CatPEP!C:C,"")</f>
        <v/>
      </c>
      <c r="G199" t="str">
        <f>_xlfn.XLOOKUP(Table1[[#This Row],[PEP]],CatPEP!C:C,CatPEP!D:D,"")</f>
        <v/>
      </c>
      <c r="O199" s="53">
        <f>SUMIF('Registro Refacciones'!B:B, I199, 'Registro Refacciones'!I:I)</f>
        <v>0</v>
      </c>
      <c r="P199" s="26">
        <f>Table1[[#This Row],[Costo Servicio]]+Table1[[#This Row],[Refacciones]]</f>
        <v>0</v>
      </c>
      <c r="Q199" s="26"/>
    </row>
    <row r="200" spans="1:17">
      <c r="A200" s="37" t="str">
        <f>IF(Table1[[#This Row],[Tipo de Servicio]]="","",Caratula!$D$15)</f>
        <v/>
      </c>
      <c r="B200" s="37" t="str">
        <f>IF(Table1[[#This Row],[Tipo de Servicio]]="","",Caratula!$D$16)</f>
        <v/>
      </c>
      <c r="C200" s="24" t="str">
        <f>IF(Table1[[#This Row],[Tipo de Servicio]]="","",Caratula!$D$17)</f>
        <v/>
      </c>
      <c r="D200" s="38" t="str">
        <f>IF(ISBLANK(Table1[[#This Row],[Tipo de Servicio]]),"",Caratula!$D$16)</f>
        <v/>
      </c>
      <c r="F200" t="str">
        <f>_xlfn.XLOOKUP(Table1[[#This Row],[SelGZ]]&amp;Table1[[#This Row],[Tipo de Servicio]],CatPEP!A:A,CatPEP!C:C,"")</f>
        <v/>
      </c>
      <c r="G200" t="str">
        <f>_xlfn.XLOOKUP(Table1[[#This Row],[PEP]],CatPEP!C:C,CatPEP!D:D,"")</f>
        <v/>
      </c>
      <c r="O200" s="53">
        <f>SUMIF('Registro Refacciones'!B:B, I200, 'Registro Refacciones'!I:I)</f>
        <v>0</v>
      </c>
      <c r="P200" s="26">
        <f>Table1[[#This Row],[Costo Servicio]]+Table1[[#This Row],[Refacciones]]</f>
        <v>0</v>
      </c>
      <c r="Q200" s="26"/>
    </row>
    <row r="201" spans="1:17">
      <c r="A201" s="37" t="str">
        <f>IF(Table1[[#This Row],[Tipo de Servicio]]="","",Caratula!$D$15)</f>
        <v/>
      </c>
      <c r="B201" s="37" t="str">
        <f>IF(Table1[[#This Row],[Tipo de Servicio]]="","",Caratula!$D$16)</f>
        <v/>
      </c>
      <c r="C201" s="24" t="str">
        <f>IF(Table1[[#This Row],[Tipo de Servicio]]="","",Caratula!$D$17)</f>
        <v/>
      </c>
      <c r="D201" s="38" t="str">
        <f>IF(ISBLANK(Table1[[#This Row],[Tipo de Servicio]]),"",Caratula!$D$16)</f>
        <v/>
      </c>
      <c r="F201" t="str">
        <f>_xlfn.XLOOKUP(Table1[[#This Row],[SelGZ]]&amp;Table1[[#This Row],[Tipo de Servicio]],CatPEP!A:A,CatPEP!C:C,"")</f>
        <v/>
      </c>
      <c r="G201" t="str">
        <f>_xlfn.XLOOKUP(Table1[[#This Row],[PEP]],CatPEP!C:C,CatPEP!D:D,"")</f>
        <v/>
      </c>
      <c r="O201" s="53">
        <f>SUMIF('Registro Refacciones'!B:B, I201, 'Registro Refacciones'!I:I)</f>
        <v>0</v>
      </c>
      <c r="P201" s="26">
        <f>Table1[[#This Row],[Costo Servicio]]+Table1[[#This Row],[Refacciones]]</f>
        <v>0</v>
      </c>
      <c r="Q201" s="26"/>
    </row>
    <row r="202" spans="1:17">
      <c r="A202" s="37" t="str">
        <f>IF(Table1[[#This Row],[Tipo de Servicio]]="","",Caratula!$D$15)</f>
        <v/>
      </c>
      <c r="B202" s="37" t="str">
        <f>IF(Table1[[#This Row],[Tipo de Servicio]]="","",Caratula!$D$16)</f>
        <v/>
      </c>
      <c r="C202" s="24" t="str">
        <f>IF(Table1[[#This Row],[Tipo de Servicio]]="","",Caratula!$D$17)</f>
        <v/>
      </c>
      <c r="D202" s="38" t="str">
        <f>IF(ISBLANK(Table1[[#This Row],[Tipo de Servicio]]),"",Caratula!$D$16)</f>
        <v/>
      </c>
      <c r="F202" t="str">
        <f>_xlfn.XLOOKUP(Table1[[#This Row],[SelGZ]]&amp;Table1[[#This Row],[Tipo de Servicio]],CatPEP!A:A,CatPEP!C:C,"")</f>
        <v/>
      </c>
      <c r="G202" t="str">
        <f>_xlfn.XLOOKUP(Table1[[#This Row],[PEP]],CatPEP!C:C,CatPEP!D:D,"")</f>
        <v/>
      </c>
      <c r="O202" s="53">
        <f>SUMIF('Registro Refacciones'!B:B, I202, 'Registro Refacciones'!I:I)</f>
        <v>0</v>
      </c>
      <c r="P202" s="26">
        <f>Table1[[#This Row],[Costo Servicio]]+Table1[[#This Row],[Refacciones]]</f>
        <v>0</v>
      </c>
      <c r="Q202" s="26"/>
    </row>
    <row r="203" spans="1:17">
      <c r="A203" s="37" t="str">
        <f>IF(Table1[[#This Row],[Tipo de Servicio]]="","",Caratula!$D$15)</f>
        <v/>
      </c>
      <c r="B203" s="37" t="str">
        <f>IF(Table1[[#This Row],[Tipo de Servicio]]="","",Caratula!$D$16)</f>
        <v/>
      </c>
      <c r="C203" s="24" t="str">
        <f>IF(Table1[[#This Row],[Tipo de Servicio]]="","",Caratula!$D$17)</f>
        <v/>
      </c>
      <c r="D203" s="38" t="str">
        <f>IF(ISBLANK(Table1[[#This Row],[Tipo de Servicio]]),"",Caratula!$D$16)</f>
        <v/>
      </c>
      <c r="F203" t="str">
        <f>_xlfn.XLOOKUP(Table1[[#This Row],[SelGZ]]&amp;Table1[[#This Row],[Tipo de Servicio]],CatPEP!A:A,CatPEP!C:C,"")</f>
        <v/>
      </c>
      <c r="G203" t="str">
        <f>_xlfn.XLOOKUP(Table1[[#This Row],[PEP]],CatPEP!C:C,CatPEP!D:D,"")</f>
        <v/>
      </c>
      <c r="O203" s="53">
        <f>SUMIF('Registro Refacciones'!B:B, I203, 'Registro Refacciones'!I:I)</f>
        <v>0</v>
      </c>
      <c r="P203" s="26">
        <f>Table1[[#This Row],[Costo Servicio]]+Table1[[#This Row],[Refacciones]]</f>
        <v>0</v>
      </c>
      <c r="Q203" s="26"/>
    </row>
    <row r="204" spans="1:17">
      <c r="A204" s="37" t="str">
        <f>IF(Table1[[#This Row],[Tipo de Servicio]]="","",Caratula!$D$15)</f>
        <v/>
      </c>
      <c r="B204" s="37" t="str">
        <f>IF(Table1[[#This Row],[Tipo de Servicio]]="","",Caratula!$D$16)</f>
        <v/>
      </c>
      <c r="C204" s="24" t="str">
        <f>IF(Table1[[#This Row],[Tipo de Servicio]]="","",Caratula!$D$17)</f>
        <v/>
      </c>
      <c r="D204" s="38" t="str">
        <f>IF(ISBLANK(Table1[[#This Row],[Tipo de Servicio]]),"",Caratula!$D$16)</f>
        <v/>
      </c>
      <c r="F204" t="str">
        <f>_xlfn.XLOOKUP(Table1[[#This Row],[SelGZ]]&amp;Table1[[#This Row],[Tipo de Servicio]],CatPEP!A:A,CatPEP!C:C,"")</f>
        <v/>
      </c>
      <c r="G204" t="str">
        <f>_xlfn.XLOOKUP(Table1[[#This Row],[PEP]],CatPEP!C:C,CatPEP!D:D,"")</f>
        <v/>
      </c>
      <c r="O204" s="53">
        <f>SUMIF('Registro Refacciones'!B:B, I204, 'Registro Refacciones'!I:I)</f>
        <v>0</v>
      </c>
      <c r="P204" s="26">
        <f>Table1[[#This Row],[Costo Servicio]]+Table1[[#This Row],[Refacciones]]</f>
        <v>0</v>
      </c>
      <c r="Q204" s="26"/>
    </row>
    <row r="205" spans="1:17">
      <c r="A205" s="37" t="str">
        <f>IF(Table1[[#This Row],[Tipo de Servicio]]="","",Caratula!$D$15)</f>
        <v/>
      </c>
      <c r="B205" s="37" t="str">
        <f>IF(Table1[[#This Row],[Tipo de Servicio]]="","",Caratula!$D$16)</f>
        <v/>
      </c>
      <c r="C205" s="24" t="str">
        <f>IF(Table1[[#This Row],[Tipo de Servicio]]="","",Caratula!$D$17)</f>
        <v/>
      </c>
      <c r="D205" s="38" t="str">
        <f>IF(ISBLANK(Table1[[#This Row],[Tipo de Servicio]]),"",Caratula!$D$16)</f>
        <v/>
      </c>
      <c r="F205" t="str">
        <f>_xlfn.XLOOKUP(Table1[[#This Row],[SelGZ]]&amp;Table1[[#This Row],[Tipo de Servicio]],CatPEP!A:A,CatPEP!C:C,"")</f>
        <v/>
      </c>
      <c r="G205" t="str">
        <f>_xlfn.XLOOKUP(Table1[[#This Row],[PEP]],CatPEP!C:C,CatPEP!D:D,"")</f>
        <v/>
      </c>
      <c r="O205" s="53">
        <f>SUMIF('Registro Refacciones'!B:B, I205, 'Registro Refacciones'!I:I)</f>
        <v>0</v>
      </c>
      <c r="P205" s="26">
        <f>Table1[[#This Row],[Costo Servicio]]+Table1[[#This Row],[Refacciones]]</f>
        <v>0</v>
      </c>
      <c r="Q205" s="26"/>
    </row>
    <row r="206" spans="1:17">
      <c r="A206" s="37" t="str">
        <f>IF(Table1[[#This Row],[Tipo de Servicio]]="","",Caratula!$D$15)</f>
        <v/>
      </c>
      <c r="B206" s="37" t="str">
        <f>IF(Table1[[#This Row],[Tipo de Servicio]]="","",Caratula!$D$16)</f>
        <v/>
      </c>
      <c r="C206" s="24" t="str">
        <f>IF(Table1[[#This Row],[Tipo de Servicio]]="","",Caratula!$D$17)</f>
        <v/>
      </c>
      <c r="D206" s="38" t="str">
        <f>IF(ISBLANK(Table1[[#This Row],[Tipo de Servicio]]),"",Caratula!$D$16)</f>
        <v/>
      </c>
      <c r="F206" t="str">
        <f>_xlfn.XLOOKUP(Table1[[#This Row],[SelGZ]]&amp;Table1[[#This Row],[Tipo de Servicio]],CatPEP!A:A,CatPEP!C:C,"")</f>
        <v/>
      </c>
      <c r="G206" t="str">
        <f>_xlfn.XLOOKUP(Table1[[#This Row],[PEP]],CatPEP!C:C,CatPEP!D:D,"")</f>
        <v/>
      </c>
      <c r="O206" s="53">
        <f>SUMIF('Registro Refacciones'!B:B, I206, 'Registro Refacciones'!I:I)</f>
        <v>0</v>
      </c>
      <c r="P206" s="26">
        <f>Table1[[#This Row],[Costo Servicio]]+Table1[[#This Row],[Refacciones]]</f>
        <v>0</v>
      </c>
      <c r="Q206" s="26"/>
    </row>
    <row r="207" spans="1:17">
      <c r="A207" s="37" t="str">
        <f>IF(Table1[[#This Row],[Tipo de Servicio]]="","",Caratula!$D$15)</f>
        <v/>
      </c>
      <c r="B207" s="37" t="str">
        <f>IF(Table1[[#This Row],[Tipo de Servicio]]="","",Caratula!$D$16)</f>
        <v/>
      </c>
      <c r="C207" s="24" t="str">
        <f>IF(Table1[[#This Row],[Tipo de Servicio]]="","",Caratula!$D$17)</f>
        <v/>
      </c>
      <c r="D207" s="38" t="str">
        <f>IF(ISBLANK(Table1[[#This Row],[Tipo de Servicio]]),"",Caratula!$D$16)</f>
        <v/>
      </c>
      <c r="F207" t="str">
        <f>_xlfn.XLOOKUP(Table1[[#This Row],[SelGZ]]&amp;Table1[[#This Row],[Tipo de Servicio]],CatPEP!A:A,CatPEP!C:C,"")</f>
        <v/>
      </c>
      <c r="G207" t="str">
        <f>_xlfn.XLOOKUP(Table1[[#This Row],[PEP]],CatPEP!C:C,CatPEP!D:D,"")</f>
        <v/>
      </c>
      <c r="O207" s="53">
        <f>SUMIF('Registro Refacciones'!B:B, I207, 'Registro Refacciones'!I:I)</f>
        <v>0</v>
      </c>
      <c r="P207" s="26">
        <f>Table1[[#This Row],[Costo Servicio]]+Table1[[#This Row],[Refacciones]]</f>
        <v>0</v>
      </c>
      <c r="Q207" s="26"/>
    </row>
    <row r="208" spans="1:17">
      <c r="A208" s="37" t="str">
        <f>IF(Table1[[#This Row],[Tipo de Servicio]]="","",Caratula!$D$15)</f>
        <v/>
      </c>
      <c r="B208" s="37" t="str">
        <f>IF(Table1[[#This Row],[Tipo de Servicio]]="","",Caratula!$D$16)</f>
        <v/>
      </c>
      <c r="C208" s="24" t="str">
        <f>IF(Table1[[#This Row],[Tipo de Servicio]]="","",Caratula!$D$17)</f>
        <v/>
      </c>
      <c r="D208" s="38" t="str">
        <f>IF(ISBLANK(Table1[[#This Row],[Tipo de Servicio]]),"",Caratula!$D$16)</f>
        <v/>
      </c>
      <c r="F208" t="str">
        <f>_xlfn.XLOOKUP(Table1[[#This Row],[SelGZ]]&amp;Table1[[#This Row],[Tipo de Servicio]],CatPEP!A:A,CatPEP!C:C,"")</f>
        <v/>
      </c>
      <c r="G208" t="str">
        <f>_xlfn.XLOOKUP(Table1[[#This Row],[PEP]],CatPEP!C:C,CatPEP!D:D,"")</f>
        <v/>
      </c>
      <c r="O208" s="53">
        <f>SUMIF('Registro Refacciones'!B:B, I208, 'Registro Refacciones'!I:I)</f>
        <v>0</v>
      </c>
      <c r="P208" s="26">
        <f>Table1[[#This Row],[Costo Servicio]]+Table1[[#This Row],[Refacciones]]</f>
        <v>0</v>
      </c>
      <c r="Q208" s="26"/>
    </row>
    <row r="209" spans="1:17">
      <c r="A209" s="37" t="str">
        <f>IF(Table1[[#This Row],[Tipo de Servicio]]="","",Caratula!$D$15)</f>
        <v/>
      </c>
      <c r="B209" s="37" t="str">
        <f>IF(Table1[[#This Row],[Tipo de Servicio]]="","",Caratula!$D$16)</f>
        <v/>
      </c>
      <c r="C209" s="24" t="str">
        <f>IF(Table1[[#This Row],[Tipo de Servicio]]="","",Caratula!$D$17)</f>
        <v/>
      </c>
      <c r="D209" s="38" t="str">
        <f>IF(ISBLANK(Table1[[#This Row],[Tipo de Servicio]]),"",Caratula!$D$16)</f>
        <v/>
      </c>
      <c r="F209" t="str">
        <f>_xlfn.XLOOKUP(Table1[[#This Row],[SelGZ]]&amp;Table1[[#This Row],[Tipo de Servicio]],CatPEP!A:A,CatPEP!C:C,"")</f>
        <v/>
      </c>
      <c r="G209" t="str">
        <f>_xlfn.XLOOKUP(Table1[[#This Row],[PEP]],CatPEP!C:C,CatPEP!D:D,"")</f>
        <v/>
      </c>
      <c r="O209" s="53">
        <f>SUMIF('Registro Refacciones'!B:B, I209, 'Registro Refacciones'!I:I)</f>
        <v>0</v>
      </c>
      <c r="P209" s="26">
        <f>Table1[[#This Row],[Costo Servicio]]+Table1[[#This Row],[Refacciones]]</f>
        <v>0</v>
      </c>
      <c r="Q209" s="26"/>
    </row>
    <row r="210" spans="1:17">
      <c r="A210" s="37" t="str">
        <f>IF(Table1[[#This Row],[Tipo de Servicio]]="","",Caratula!$D$15)</f>
        <v/>
      </c>
      <c r="B210" s="37" t="str">
        <f>IF(Table1[[#This Row],[Tipo de Servicio]]="","",Caratula!$D$16)</f>
        <v/>
      </c>
      <c r="C210" s="24" t="str">
        <f>IF(Table1[[#This Row],[Tipo de Servicio]]="","",Caratula!$D$17)</f>
        <v/>
      </c>
      <c r="D210" s="38" t="str">
        <f>IF(ISBLANK(Table1[[#This Row],[Tipo de Servicio]]),"",Caratula!$D$16)</f>
        <v/>
      </c>
      <c r="F210" t="str">
        <f>_xlfn.XLOOKUP(Table1[[#This Row],[SelGZ]]&amp;Table1[[#This Row],[Tipo de Servicio]],CatPEP!A:A,CatPEP!C:C,"")</f>
        <v/>
      </c>
      <c r="G210" t="str">
        <f>_xlfn.XLOOKUP(Table1[[#This Row],[PEP]],CatPEP!C:C,CatPEP!D:D,"")</f>
        <v/>
      </c>
      <c r="O210" s="53">
        <f>SUMIF('Registro Refacciones'!B:B, I210, 'Registro Refacciones'!I:I)</f>
        <v>0</v>
      </c>
      <c r="P210" s="26">
        <f>Table1[[#This Row],[Costo Servicio]]+Table1[[#This Row],[Refacciones]]</f>
        <v>0</v>
      </c>
      <c r="Q210" s="26"/>
    </row>
    <row r="211" spans="1:17">
      <c r="A211" s="37" t="str">
        <f>IF(Table1[[#This Row],[Tipo de Servicio]]="","",Caratula!$D$15)</f>
        <v/>
      </c>
      <c r="B211" s="37" t="str">
        <f>IF(Table1[[#This Row],[Tipo de Servicio]]="","",Caratula!$D$16)</f>
        <v/>
      </c>
      <c r="C211" s="24" t="str">
        <f>IF(Table1[[#This Row],[Tipo de Servicio]]="","",Caratula!$D$17)</f>
        <v/>
      </c>
      <c r="D211" s="38" t="str">
        <f>IF(ISBLANK(Table1[[#This Row],[Tipo de Servicio]]),"",Caratula!$D$16)</f>
        <v/>
      </c>
      <c r="F211" t="str">
        <f>_xlfn.XLOOKUP(Table1[[#This Row],[SelGZ]]&amp;Table1[[#This Row],[Tipo de Servicio]],CatPEP!A:A,CatPEP!C:C,"")</f>
        <v/>
      </c>
      <c r="G211" t="str">
        <f>_xlfn.XLOOKUP(Table1[[#This Row],[PEP]],CatPEP!C:C,CatPEP!D:D,"")</f>
        <v/>
      </c>
      <c r="O211" s="53">
        <f>SUMIF('Registro Refacciones'!B:B, I211, 'Registro Refacciones'!I:I)</f>
        <v>0</v>
      </c>
      <c r="P211" s="26">
        <f>Table1[[#This Row],[Costo Servicio]]+Table1[[#This Row],[Refacciones]]</f>
        <v>0</v>
      </c>
      <c r="Q211" s="26"/>
    </row>
    <row r="212" spans="1:17">
      <c r="A212" s="37" t="str">
        <f>IF(Table1[[#This Row],[Tipo de Servicio]]="","",Caratula!$D$15)</f>
        <v/>
      </c>
      <c r="B212" s="37" t="str">
        <f>IF(Table1[[#This Row],[Tipo de Servicio]]="","",Caratula!$D$16)</f>
        <v/>
      </c>
      <c r="C212" s="24" t="str">
        <f>IF(Table1[[#This Row],[Tipo de Servicio]]="","",Caratula!$D$17)</f>
        <v/>
      </c>
      <c r="D212" s="38" t="str">
        <f>IF(ISBLANK(Table1[[#This Row],[Tipo de Servicio]]),"",Caratula!$D$16)</f>
        <v/>
      </c>
      <c r="F212" t="str">
        <f>_xlfn.XLOOKUP(Table1[[#This Row],[SelGZ]]&amp;Table1[[#This Row],[Tipo de Servicio]],CatPEP!A:A,CatPEP!C:C,"")</f>
        <v/>
      </c>
      <c r="G212" t="str">
        <f>_xlfn.XLOOKUP(Table1[[#This Row],[PEP]],CatPEP!C:C,CatPEP!D:D,"")</f>
        <v/>
      </c>
      <c r="O212" s="53">
        <f>SUMIF('Registro Refacciones'!B:B, I212, 'Registro Refacciones'!I:I)</f>
        <v>0</v>
      </c>
      <c r="P212" s="26">
        <f>Table1[[#This Row],[Costo Servicio]]+Table1[[#This Row],[Refacciones]]</f>
        <v>0</v>
      </c>
      <c r="Q212" s="26"/>
    </row>
    <row r="213" spans="1:17">
      <c r="A213" s="37" t="str">
        <f>IF(Table1[[#This Row],[Tipo de Servicio]]="","",Caratula!$D$15)</f>
        <v/>
      </c>
      <c r="B213" s="37" t="str">
        <f>IF(Table1[[#This Row],[Tipo de Servicio]]="","",Caratula!$D$16)</f>
        <v/>
      </c>
      <c r="C213" s="24" t="str">
        <f>IF(Table1[[#This Row],[Tipo de Servicio]]="","",Caratula!$D$17)</f>
        <v/>
      </c>
      <c r="D213" s="38" t="str">
        <f>IF(ISBLANK(Table1[[#This Row],[Tipo de Servicio]]),"",Caratula!$D$16)</f>
        <v/>
      </c>
      <c r="F213" t="str">
        <f>_xlfn.XLOOKUP(Table1[[#This Row],[SelGZ]]&amp;Table1[[#This Row],[Tipo de Servicio]],CatPEP!A:A,CatPEP!C:C,"")</f>
        <v/>
      </c>
      <c r="G213" t="str">
        <f>_xlfn.XLOOKUP(Table1[[#This Row],[PEP]],CatPEP!C:C,CatPEP!D:D,"")</f>
        <v/>
      </c>
      <c r="O213" s="53">
        <f>SUMIF('Registro Refacciones'!B:B, I213, 'Registro Refacciones'!I:I)</f>
        <v>0</v>
      </c>
      <c r="P213" s="26">
        <f>Table1[[#This Row],[Costo Servicio]]+Table1[[#This Row],[Refacciones]]</f>
        <v>0</v>
      </c>
      <c r="Q213" s="26"/>
    </row>
    <row r="214" spans="1:17">
      <c r="A214" s="37" t="str">
        <f>IF(Table1[[#This Row],[Tipo de Servicio]]="","",Caratula!$D$15)</f>
        <v/>
      </c>
      <c r="B214" s="37" t="str">
        <f>IF(Table1[[#This Row],[Tipo de Servicio]]="","",Caratula!$D$16)</f>
        <v/>
      </c>
      <c r="C214" s="24" t="str">
        <f>IF(Table1[[#This Row],[Tipo de Servicio]]="","",Caratula!$D$17)</f>
        <v/>
      </c>
      <c r="D214" s="38" t="str">
        <f>IF(ISBLANK(Table1[[#This Row],[Tipo de Servicio]]),"",Caratula!$D$16)</f>
        <v/>
      </c>
      <c r="F214" t="str">
        <f>_xlfn.XLOOKUP(Table1[[#This Row],[SelGZ]]&amp;Table1[[#This Row],[Tipo de Servicio]],CatPEP!A:A,CatPEP!C:C,"")</f>
        <v/>
      </c>
      <c r="G214" t="str">
        <f>_xlfn.XLOOKUP(Table1[[#This Row],[PEP]],CatPEP!C:C,CatPEP!D:D,"")</f>
        <v/>
      </c>
      <c r="O214" s="53">
        <f>SUMIF('Registro Refacciones'!B:B, I214, 'Registro Refacciones'!I:I)</f>
        <v>0</v>
      </c>
      <c r="P214" s="26">
        <f>Table1[[#This Row],[Costo Servicio]]+Table1[[#This Row],[Refacciones]]</f>
        <v>0</v>
      </c>
      <c r="Q214" s="26"/>
    </row>
    <row r="215" spans="1:17">
      <c r="A215" s="37" t="str">
        <f>IF(Table1[[#This Row],[Tipo de Servicio]]="","",Caratula!$D$15)</f>
        <v/>
      </c>
      <c r="B215" s="37" t="str">
        <f>IF(Table1[[#This Row],[Tipo de Servicio]]="","",Caratula!$D$16)</f>
        <v/>
      </c>
      <c r="C215" s="24" t="str">
        <f>IF(Table1[[#This Row],[Tipo de Servicio]]="","",Caratula!$D$17)</f>
        <v/>
      </c>
      <c r="D215" s="38" t="str">
        <f>IF(ISBLANK(Table1[[#This Row],[Tipo de Servicio]]),"",Caratula!$D$16)</f>
        <v/>
      </c>
      <c r="F215" t="str">
        <f>_xlfn.XLOOKUP(Table1[[#This Row],[SelGZ]]&amp;Table1[[#This Row],[Tipo de Servicio]],CatPEP!A:A,CatPEP!C:C,"")</f>
        <v/>
      </c>
      <c r="G215" t="str">
        <f>_xlfn.XLOOKUP(Table1[[#This Row],[PEP]],CatPEP!C:C,CatPEP!D:D,"")</f>
        <v/>
      </c>
      <c r="O215" s="53">
        <f>SUMIF('Registro Refacciones'!B:B, I215, 'Registro Refacciones'!I:I)</f>
        <v>0</v>
      </c>
      <c r="P215" s="26">
        <f>Table1[[#This Row],[Costo Servicio]]+Table1[[#This Row],[Refacciones]]</f>
        <v>0</v>
      </c>
      <c r="Q215" s="26"/>
    </row>
    <row r="216" spans="1:17">
      <c r="A216" s="37" t="str">
        <f>IF(Table1[[#This Row],[Tipo de Servicio]]="","",Caratula!$D$15)</f>
        <v/>
      </c>
      <c r="B216" s="37" t="str">
        <f>IF(Table1[[#This Row],[Tipo de Servicio]]="","",Caratula!$D$16)</f>
        <v/>
      </c>
      <c r="C216" s="24" t="str">
        <f>IF(Table1[[#This Row],[Tipo de Servicio]]="","",Caratula!$D$17)</f>
        <v/>
      </c>
      <c r="D216" s="38" t="str">
        <f>IF(ISBLANK(Table1[[#This Row],[Tipo de Servicio]]),"",Caratula!$D$16)</f>
        <v/>
      </c>
      <c r="F216" t="str">
        <f>_xlfn.XLOOKUP(Table1[[#This Row],[SelGZ]]&amp;Table1[[#This Row],[Tipo de Servicio]],CatPEP!A:A,CatPEP!C:C,"")</f>
        <v/>
      </c>
      <c r="G216" t="str">
        <f>_xlfn.XLOOKUP(Table1[[#This Row],[PEP]],CatPEP!C:C,CatPEP!D:D,"")</f>
        <v/>
      </c>
      <c r="O216" s="53">
        <f>SUMIF('Registro Refacciones'!B:B, I216, 'Registro Refacciones'!I:I)</f>
        <v>0</v>
      </c>
      <c r="P216" s="26">
        <f>Table1[[#This Row],[Costo Servicio]]+Table1[[#This Row],[Refacciones]]</f>
        <v>0</v>
      </c>
      <c r="Q216" s="26"/>
    </row>
    <row r="217" spans="1:17">
      <c r="A217" s="37" t="str">
        <f>IF(Table1[[#This Row],[Tipo de Servicio]]="","",Caratula!$D$15)</f>
        <v/>
      </c>
      <c r="B217" s="37" t="str">
        <f>IF(Table1[[#This Row],[Tipo de Servicio]]="","",Caratula!$D$16)</f>
        <v/>
      </c>
      <c r="C217" s="24" t="str">
        <f>IF(Table1[[#This Row],[Tipo de Servicio]]="","",Caratula!$D$17)</f>
        <v/>
      </c>
      <c r="D217" s="38" t="str">
        <f>IF(ISBLANK(Table1[[#This Row],[Tipo de Servicio]]),"",Caratula!$D$16)</f>
        <v/>
      </c>
      <c r="F217" t="str">
        <f>_xlfn.XLOOKUP(Table1[[#This Row],[SelGZ]]&amp;Table1[[#This Row],[Tipo de Servicio]],CatPEP!A:A,CatPEP!C:C,"")</f>
        <v/>
      </c>
      <c r="G217" t="str">
        <f>_xlfn.XLOOKUP(Table1[[#This Row],[PEP]],CatPEP!C:C,CatPEP!D:D,"")</f>
        <v/>
      </c>
      <c r="O217" s="53">
        <f>SUMIF('Registro Refacciones'!B:B, I217, 'Registro Refacciones'!I:I)</f>
        <v>0</v>
      </c>
      <c r="P217" s="26">
        <f>Table1[[#This Row],[Costo Servicio]]+Table1[[#This Row],[Refacciones]]</f>
        <v>0</v>
      </c>
      <c r="Q217" s="26"/>
    </row>
    <row r="218" spans="1:17">
      <c r="A218" s="37" t="str">
        <f>IF(Table1[[#This Row],[Tipo de Servicio]]="","",Caratula!$D$15)</f>
        <v/>
      </c>
      <c r="B218" s="37" t="str">
        <f>IF(Table1[[#This Row],[Tipo de Servicio]]="","",Caratula!$D$16)</f>
        <v/>
      </c>
      <c r="C218" s="24" t="str">
        <f>IF(Table1[[#This Row],[Tipo de Servicio]]="","",Caratula!$D$17)</f>
        <v/>
      </c>
      <c r="D218" s="38" t="str">
        <f>IF(ISBLANK(Table1[[#This Row],[Tipo de Servicio]]),"",Caratula!$D$16)</f>
        <v/>
      </c>
      <c r="F218" t="str">
        <f>_xlfn.XLOOKUP(Table1[[#This Row],[SelGZ]]&amp;Table1[[#This Row],[Tipo de Servicio]],CatPEP!A:A,CatPEP!C:C,"")</f>
        <v/>
      </c>
      <c r="G218" t="str">
        <f>_xlfn.XLOOKUP(Table1[[#This Row],[PEP]],CatPEP!C:C,CatPEP!D:D,"")</f>
        <v/>
      </c>
      <c r="O218" s="53">
        <f>SUMIF('Registro Refacciones'!B:B, I218, 'Registro Refacciones'!I:I)</f>
        <v>0</v>
      </c>
      <c r="P218" s="26">
        <f>Table1[[#This Row],[Costo Servicio]]+Table1[[#This Row],[Refacciones]]</f>
        <v>0</v>
      </c>
      <c r="Q218" s="26"/>
    </row>
    <row r="219" spans="1:17">
      <c r="A219" s="37" t="str">
        <f>IF(Table1[[#This Row],[Tipo de Servicio]]="","",Caratula!$D$15)</f>
        <v/>
      </c>
      <c r="B219" s="37" t="str">
        <f>IF(Table1[[#This Row],[Tipo de Servicio]]="","",Caratula!$D$16)</f>
        <v/>
      </c>
      <c r="C219" s="24" t="str">
        <f>IF(Table1[[#This Row],[Tipo de Servicio]]="","",Caratula!$D$17)</f>
        <v/>
      </c>
      <c r="D219" s="38" t="str">
        <f>IF(ISBLANK(Table1[[#This Row],[Tipo de Servicio]]),"",Caratula!$D$16)</f>
        <v/>
      </c>
      <c r="F219" t="str">
        <f>_xlfn.XLOOKUP(Table1[[#This Row],[SelGZ]]&amp;Table1[[#This Row],[Tipo de Servicio]],CatPEP!A:A,CatPEP!C:C,"")</f>
        <v/>
      </c>
      <c r="G219" t="str">
        <f>_xlfn.XLOOKUP(Table1[[#This Row],[PEP]],CatPEP!C:C,CatPEP!D:D,"")</f>
        <v/>
      </c>
      <c r="O219" s="53">
        <f>SUMIF('Registro Refacciones'!B:B, I219, 'Registro Refacciones'!I:I)</f>
        <v>0</v>
      </c>
      <c r="P219" s="26">
        <f>Table1[[#This Row],[Costo Servicio]]+Table1[[#This Row],[Refacciones]]</f>
        <v>0</v>
      </c>
      <c r="Q219" s="26"/>
    </row>
    <row r="220" spans="1:17">
      <c r="A220" s="37" t="str">
        <f>IF(Table1[[#This Row],[Tipo de Servicio]]="","",Caratula!$D$15)</f>
        <v/>
      </c>
      <c r="B220" s="37" t="str">
        <f>IF(Table1[[#This Row],[Tipo de Servicio]]="","",Caratula!$D$16)</f>
        <v/>
      </c>
      <c r="C220" s="24" t="str">
        <f>IF(Table1[[#This Row],[Tipo de Servicio]]="","",Caratula!$D$17)</f>
        <v/>
      </c>
      <c r="D220" s="38" t="str">
        <f>IF(ISBLANK(Table1[[#This Row],[Tipo de Servicio]]),"",Caratula!$D$16)</f>
        <v/>
      </c>
      <c r="F220" t="str">
        <f>_xlfn.XLOOKUP(Table1[[#This Row],[SelGZ]]&amp;Table1[[#This Row],[Tipo de Servicio]],CatPEP!A:A,CatPEP!C:C,"")</f>
        <v/>
      </c>
      <c r="G220" t="str">
        <f>_xlfn.XLOOKUP(Table1[[#This Row],[PEP]],CatPEP!C:C,CatPEP!D:D,"")</f>
        <v/>
      </c>
      <c r="O220" s="53">
        <f>SUMIF('Registro Refacciones'!B:B, I220, 'Registro Refacciones'!I:I)</f>
        <v>0</v>
      </c>
      <c r="P220" s="26">
        <f>Table1[[#This Row],[Costo Servicio]]+Table1[[#This Row],[Refacciones]]</f>
        <v>0</v>
      </c>
      <c r="Q220" s="26"/>
    </row>
    <row r="221" spans="1:17">
      <c r="A221" s="37" t="str">
        <f>IF(Table1[[#This Row],[Tipo de Servicio]]="","",Caratula!$D$15)</f>
        <v/>
      </c>
      <c r="B221" s="37" t="str">
        <f>IF(Table1[[#This Row],[Tipo de Servicio]]="","",Caratula!$D$16)</f>
        <v/>
      </c>
      <c r="C221" s="24" t="str">
        <f>IF(Table1[[#This Row],[Tipo de Servicio]]="","",Caratula!$D$17)</f>
        <v/>
      </c>
      <c r="D221" s="38" t="str">
        <f>IF(ISBLANK(Table1[[#This Row],[Tipo de Servicio]]),"",Caratula!$D$16)</f>
        <v/>
      </c>
      <c r="F221" t="str">
        <f>_xlfn.XLOOKUP(Table1[[#This Row],[SelGZ]]&amp;Table1[[#This Row],[Tipo de Servicio]],CatPEP!A:A,CatPEP!C:C,"")</f>
        <v/>
      </c>
      <c r="G221" t="str">
        <f>_xlfn.XLOOKUP(Table1[[#This Row],[PEP]],CatPEP!C:C,CatPEP!D:D,"")</f>
        <v/>
      </c>
      <c r="O221" s="53">
        <f>SUMIF('Registro Refacciones'!B:B, I221, 'Registro Refacciones'!I:I)</f>
        <v>0</v>
      </c>
      <c r="P221" s="26">
        <f>Table1[[#This Row],[Costo Servicio]]+Table1[[#This Row],[Refacciones]]</f>
        <v>0</v>
      </c>
      <c r="Q221" s="26"/>
    </row>
    <row r="222" spans="1:17">
      <c r="A222" s="37" t="str">
        <f>IF(Table1[[#This Row],[Tipo de Servicio]]="","",Caratula!$D$15)</f>
        <v/>
      </c>
      <c r="B222" s="37" t="str">
        <f>IF(Table1[[#This Row],[Tipo de Servicio]]="","",Caratula!$D$16)</f>
        <v/>
      </c>
      <c r="C222" s="24" t="str">
        <f>IF(Table1[[#This Row],[Tipo de Servicio]]="","",Caratula!$D$17)</f>
        <v/>
      </c>
      <c r="D222" s="38" t="str">
        <f>IF(ISBLANK(Table1[[#This Row],[Tipo de Servicio]]),"",Caratula!$D$16)</f>
        <v/>
      </c>
      <c r="F222" t="str">
        <f>_xlfn.XLOOKUP(Table1[[#This Row],[SelGZ]]&amp;Table1[[#This Row],[Tipo de Servicio]],CatPEP!A:A,CatPEP!C:C,"")</f>
        <v/>
      </c>
      <c r="G222" t="str">
        <f>_xlfn.XLOOKUP(Table1[[#This Row],[PEP]],CatPEP!C:C,CatPEP!D:D,"")</f>
        <v/>
      </c>
      <c r="O222" s="53">
        <f>SUMIF('Registro Refacciones'!B:B, I222, 'Registro Refacciones'!I:I)</f>
        <v>0</v>
      </c>
      <c r="P222" s="26">
        <f>Table1[[#This Row],[Costo Servicio]]+Table1[[#This Row],[Refacciones]]</f>
        <v>0</v>
      </c>
      <c r="Q222" s="26"/>
    </row>
    <row r="223" spans="1:17">
      <c r="A223" s="37" t="str">
        <f>IF(Table1[[#This Row],[Tipo de Servicio]]="","",Caratula!$D$15)</f>
        <v/>
      </c>
      <c r="B223" s="37" t="str">
        <f>IF(Table1[[#This Row],[Tipo de Servicio]]="","",Caratula!$D$16)</f>
        <v/>
      </c>
      <c r="C223" s="24" t="str">
        <f>IF(Table1[[#This Row],[Tipo de Servicio]]="","",Caratula!$D$17)</f>
        <v/>
      </c>
      <c r="D223" s="38" t="str">
        <f>IF(ISBLANK(Table1[[#This Row],[Tipo de Servicio]]),"",Caratula!$D$16)</f>
        <v/>
      </c>
      <c r="F223" t="str">
        <f>_xlfn.XLOOKUP(Table1[[#This Row],[SelGZ]]&amp;Table1[[#This Row],[Tipo de Servicio]],CatPEP!A:A,CatPEP!C:C,"")</f>
        <v/>
      </c>
      <c r="G223" t="str">
        <f>_xlfn.XLOOKUP(Table1[[#This Row],[PEP]],CatPEP!C:C,CatPEP!D:D,"")</f>
        <v/>
      </c>
      <c r="O223" s="53">
        <f>SUMIF('Registro Refacciones'!B:B, I223, 'Registro Refacciones'!I:I)</f>
        <v>0</v>
      </c>
      <c r="P223" s="26">
        <f>Table1[[#This Row],[Costo Servicio]]+Table1[[#This Row],[Refacciones]]</f>
        <v>0</v>
      </c>
      <c r="Q223" s="26"/>
    </row>
    <row r="224" spans="1:17">
      <c r="A224" s="37" t="str">
        <f>IF(Table1[[#This Row],[Tipo de Servicio]]="","",Caratula!$D$15)</f>
        <v/>
      </c>
      <c r="B224" s="37" t="str">
        <f>IF(Table1[[#This Row],[Tipo de Servicio]]="","",Caratula!$D$16)</f>
        <v/>
      </c>
      <c r="C224" s="24" t="str">
        <f>IF(Table1[[#This Row],[Tipo de Servicio]]="","",Caratula!$D$17)</f>
        <v/>
      </c>
      <c r="D224" s="38" t="str">
        <f>IF(ISBLANK(Table1[[#This Row],[Tipo de Servicio]]),"",Caratula!$D$16)</f>
        <v/>
      </c>
      <c r="F224" t="str">
        <f>_xlfn.XLOOKUP(Table1[[#This Row],[SelGZ]]&amp;Table1[[#This Row],[Tipo de Servicio]],CatPEP!A:A,CatPEP!C:C,"")</f>
        <v/>
      </c>
      <c r="G224" t="str">
        <f>_xlfn.XLOOKUP(Table1[[#This Row],[PEP]],CatPEP!C:C,CatPEP!D:D,"")</f>
        <v/>
      </c>
      <c r="O224" s="53">
        <f>SUMIF('Registro Refacciones'!B:B, I224, 'Registro Refacciones'!I:I)</f>
        <v>0</v>
      </c>
      <c r="P224" s="26">
        <f>Table1[[#This Row],[Costo Servicio]]+Table1[[#This Row],[Refacciones]]</f>
        <v>0</v>
      </c>
      <c r="Q224" s="26"/>
    </row>
    <row r="225" spans="1:17">
      <c r="A225" s="37" t="str">
        <f>IF(Table1[[#This Row],[Tipo de Servicio]]="","",Caratula!$D$15)</f>
        <v/>
      </c>
      <c r="B225" s="37" t="str">
        <f>IF(Table1[[#This Row],[Tipo de Servicio]]="","",Caratula!$D$16)</f>
        <v/>
      </c>
      <c r="C225" s="24" t="str">
        <f>IF(Table1[[#This Row],[Tipo de Servicio]]="","",Caratula!$D$17)</f>
        <v/>
      </c>
      <c r="D225" s="38" t="str">
        <f>IF(ISBLANK(Table1[[#This Row],[Tipo de Servicio]]),"",Caratula!$D$16)</f>
        <v/>
      </c>
      <c r="F225" t="str">
        <f>_xlfn.XLOOKUP(Table1[[#This Row],[SelGZ]]&amp;Table1[[#This Row],[Tipo de Servicio]],CatPEP!A:A,CatPEP!C:C,"")</f>
        <v/>
      </c>
      <c r="G225" t="str">
        <f>_xlfn.XLOOKUP(Table1[[#This Row],[PEP]],CatPEP!C:C,CatPEP!D:D,"")</f>
        <v/>
      </c>
      <c r="O225" s="53">
        <f>SUMIF('Registro Refacciones'!B:B, I225, 'Registro Refacciones'!I:I)</f>
        <v>0</v>
      </c>
      <c r="P225" s="26">
        <f>Table1[[#This Row],[Costo Servicio]]+Table1[[#This Row],[Refacciones]]</f>
        <v>0</v>
      </c>
      <c r="Q225" s="26"/>
    </row>
    <row r="226" spans="1:17">
      <c r="A226" s="37" t="str">
        <f>IF(Table1[[#This Row],[Tipo de Servicio]]="","",Caratula!$D$15)</f>
        <v/>
      </c>
      <c r="B226" s="37" t="str">
        <f>IF(Table1[[#This Row],[Tipo de Servicio]]="","",Caratula!$D$16)</f>
        <v/>
      </c>
      <c r="C226" s="24" t="str">
        <f>IF(Table1[[#This Row],[Tipo de Servicio]]="","",Caratula!$D$17)</f>
        <v/>
      </c>
      <c r="D226" s="38" t="str">
        <f>IF(ISBLANK(Table1[[#This Row],[Tipo de Servicio]]),"",Caratula!$D$16)</f>
        <v/>
      </c>
      <c r="F226" t="str">
        <f>_xlfn.XLOOKUP(Table1[[#This Row],[SelGZ]]&amp;Table1[[#This Row],[Tipo de Servicio]],CatPEP!A:A,CatPEP!C:C,"")</f>
        <v/>
      </c>
      <c r="G226" t="str">
        <f>_xlfn.XLOOKUP(Table1[[#This Row],[PEP]],CatPEP!C:C,CatPEP!D:D,"")</f>
        <v/>
      </c>
      <c r="O226" s="53">
        <f>SUMIF('Registro Refacciones'!B:B, I226, 'Registro Refacciones'!I:I)</f>
        <v>0</v>
      </c>
      <c r="P226" s="26">
        <f>Table1[[#This Row],[Costo Servicio]]+Table1[[#This Row],[Refacciones]]</f>
        <v>0</v>
      </c>
      <c r="Q226" s="26"/>
    </row>
    <row r="227" spans="1:17">
      <c r="A227" s="37" t="str">
        <f>IF(Table1[[#This Row],[Tipo de Servicio]]="","",Caratula!$D$15)</f>
        <v/>
      </c>
      <c r="B227" s="37" t="str">
        <f>IF(Table1[[#This Row],[Tipo de Servicio]]="","",Caratula!$D$16)</f>
        <v/>
      </c>
      <c r="C227" s="24" t="str">
        <f>IF(Table1[[#This Row],[Tipo de Servicio]]="","",Caratula!$D$17)</f>
        <v/>
      </c>
      <c r="D227" s="38" t="str">
        <f>IF(ISBLANK(Table1[[#This Row],[Tipo de Servicio]]),"",Caratula!$D$16)</f>
        <v/>
      </c>
      <c r="F227" t="str">
        <f>_xlfn.XLOOKUP(Table1[[#This Row],[SelGZ]]&amp;Table1[[#This Row],[Tipo de Servicio]],CatPEP!A:A,CatPEP!C:C,"")</f>
        <v/>
      </c>
      <c r="G227" t="str">
        <f>_xlfn.XLOOKUP(Table1[[#This Row],[PEP]],CatPEP!C:C,CatPEP!D:D,"")</f>
        <v/>
      </c>
      <c r="O227" s="53">
        <f>SUMIF('Registro Refacciones'!B:B, I227, 'Registro Refacciones'!I:I)</f>
        <v>0</v>
      </c>
      <c r="P227" s="26">
        <f>Table1[[#This Row],[Costo Servicio]]+Table1[[#This Row],[Refacciones]]</f>
        <v>0</v>
      </c>
      <c r="Q227" s="26"/>
    </row>
    <row r="228" spans="1:17">
      <c r="A228" s="37" t="str">
        <f>IF(Table1[[#This Row],[Tipo de Servicio]]="","",Caratula!$D$15)</f>
        <v/>
      </c>
      <c r="B228" s="37" t="str">
        <f>IF(Table1[[#This Row],[Tipo de Servicio]]="","",Caratula!$D$16)</f>
        <v/>
      </c>
      <c r="C228" s="24" t="str">
        <f>IF(Table1[[#This Row],[Tipo de Servicio]]="","",Caratula!$D$17)</f>
        <v/>
      </c>
      <c r="D228" s="38" t="str">
        <f>IF(ISBLANK(Table1[[#This Row],[Tipo de Servicio]]),"",Caratula!$D$16)</f>
        <v/>
      </c>
      <c r="F228" t="str">
        <f>_xlfn.XLOOKUP(Table1[[#This Row],[SelGZ]]&amp;Table1[[#This Row],[Tipo de Servicio]],CatPEP!A:A,CatPEP!C:C,"")</f>
        <v/>
      </c>
      <c r="G228" t="str">
        <f>_xlfn.XLOOKUP(Table1[[#This Row],[PEP]],CatPEP!C:C,CatPEP!D:D,"")</f>
        <v/>
      </c>
      <c r="O228" s="53">
        <f>SUMIF('Registro Refacciones'!B:B, I228, 'Registro Refacciones'!I:I)</f>
        <v>0</v>
      </c>
      <c r="P228" s="26">
        <f>Table1[[#This Row],[Costo Servicio]]+Table1[[#This Row],[Refacciones]]</f>
        <v>0</v>
      </c>
      <c r="Q228" s="26"/>
    </row>
    <row r="229" spans="1:17">
      <c r="A229" s="37" t="str">
        <f>IF(Table1[[#This Row],[Tipo de Servicio]]="","",Caratula!$D$15)</f>
        <v/>
      </c>
      <c r="B229" s="37" t="str">
        <f>IF(Table1[[#This Row],[Tipo de Servicio]]="","",Caratula!$D$16)</f>
        <v/>
      </c>
      <c r="C229" s="24" t="str">
        <f>IF(Table1[[#This Row],[Tipo de Servicio]]="","",Caratula!$D$17)</f>
        <v/>
      </c>
      <c r="D229" s="38" t="str">
        <f>IF(ISBLANK(Table1[[#This Row],[Tipo de Servicio]]),"",Caratula!$D$16)</f>
        <v/>
      </c>
      <c r="F229" t="str">
        <f>_xlfn.XLOOKUP(Table1[[#This Row],[SelGZ]]&amp;Table1[[#This Row],[Tipo de Servicio]],CatPEP!A:A,CatPEP!C:C,"")</f>
        <v/>
      </c>
      <c r="G229" t="str">
        <f>_xlfn.XLOOKUP(Table1[[#This Row],[PEP]],CatPEP!C:C,CatPEP!D:D,"")</f>
        <v/>
      </c>
      <c r="O229" s="53">
        <f>SUMIF('Registro Refacciones'!B:B, I229, 'Registro Refacciones'!I:I)</f>
        <v>0</v>
      </c>
      <c r="P229" s="26">
        <f>Table1[[#This Row],[Costo Servicio]]+Table1[[#This Row],[Refacciones]]</f>
        <v>0</v>
      </c>
      <c r="Q229" s="26"/>
    </row>
    <row r="230" spans="1:17">
      <c r="A230" s="37" t="str">
        <f>IF(Table1[[#This Row],[Tipo de Servicio]]="","",Caratula!$D$15)</f>
        <v/>
      </c>
      <c r="B230" s="37" t="str">
        <f>IF(Table1[[#This Row],[Tipo de Servicio]]="","",Caratula!$D$16)</f>
        <v/>
      </c>
      <c r="C230" s="24" t="str">
        <f>IF(Table1[[#This Row],[Tipo de Servicio]]="","",Caratula!$D$17)</f>
        <v/>
      </c>
      <c r="D230" s="38" t="str">
        <f>IF(ISBLANK(Table1[[#This Row],[Tipo de Servicio]]),"",Caratula!$D$16)</f>
        <v/>
      </c>
      <c r="F230" t="str">
        <f>_xlfn.XLOOKUP(Table1[[#This Row],[SelGZ]]&amp;Table1[[#This Row],[Tipo de Servicio]],CatPEP!A:A,CatPEP!C:C,"")</f>
        <v/>
      </c>
      <c r="G230" t="str">
        <f>_xlfn.XLOOKUP(Table1[[#This Row],[PEP]],CatPEP!C:C,CatPEP!D:D,"")</f>
        <v/>
      </c>
      <c r="O230" s="53">
        <f>SUMIF('Registro Refacciones'!B:B, I230, 'Registro Refacciones'!I:I)</f>
        <v>0</v>
      </c>
      <c r="P230" s="26">
        <f>Table1[[#This Row],[Costo Servicio]]+Table1[[#This Row],[Refacciones]]</f>
        <v>0</v>
      </c>
      <c r="Q230" s="26"/>
    </row>
    <row r="231" spans="1:17">
      <c r="A231" s="37" t="str">
        <f>IF(Table1[[#This Row],[Tipo de Servicio]]="","",Caratula!$D$15)</f>
        <v/>
      </c>
      <c r="B231" s="37" t="str">
        <f>IF(Table1[[#This Row],[Tipo de Servicio]]="","",Caratula!$D$16)</f>
        <v/>
      </c>
      <c r="C231" s="24" t="str">
        <f>IF(Table1[[#This Row],[Tipo de Servicio]]="","",Caratula!$D$17)</f>
        <v/>
      </c>
      <c r="D231" s="38" t="str">
        <f>IF(ISBLANK(Table1[[#This Row],[Tipo de Servicio]]),"",Caratula!$D$16)</f>
        <v/>
      </c>
      <c r="F231" t="str">
        <f>_xlfn.XLOOKUP(Table1[[#This Row],[SelGZ]]&amp;Table1[[#This Row],[Tipo de Servicio]],CatPEP!A:A,CatPEP!C:C,"")</f>
        <v/>
      </c>
      <c r="G231" t="str">
        <f>_xlfn.XLOOKUP(Table1[[#This Row],[PEP]],CatPEP!C:C,CatPEP!D:D,"")</f>
        <v/>
      </c>
      <c r="O231" s="53">
        <f>SUMIF('Registro Refacciones'!B:B, I231, 'Registro Refacciones'!I:I)</f>
        <v>0</v>
      </c>
      <c r="P231" s="26">
        <f>Table1[[#This Row],[Costo Servicio]]+Table1[[#This Row],[Refacciones]]</f>
        <v>0</v>
      </c>
      <c r="Q231" s="26"/>
    </row>
    <row r="232" spans="1:17">
      <c r="A232" s="37" t="str">
        <f>IF(Table1[[#This Row],[Tipo de Servicio]]="","",Caratula!$D$15)</f>
        <v/>
      </c>
      <c r="B232" s="37" t="str">
        <f>IF(Table1[[#This Row],[Tipo de Servicio]]="","",Caratula!$D$16)</f>
        <v/>
      </c>
      <c r="C232" s="24" t="str">
        <f>IF(Table1[[#This Row],[Tipo de Servicio]]="","",Caratula!$D$17)</f>
        <v/>
      </c>
      <c r="D232" s="38" t="str">
        <f>IF(ISBLANK(Table1[[#This Row],[Tipo de Servicio]]),"",Caratula!$D$16)</f>
        <v/>
      </c>
      <c r="F232" t="str">
        <f>_xlfn.XLOOKUP(Table1[[#This Row],[SelGZ]]&amp;Table1[[#This Row],[Tipo de Servicio]],CatPEP!A:A,CatPEP!C:C,"")</f>
        <v/>
      </c>
      <c r="G232" t="str">
        <f>_xlfn.XLOOKUP(Table1[[#This Row],[PEP]],CatPEP!C:C,CatPEP!D:D,"")</f>
        <v/>
      </c>
      <c r="O232" s="53">
        <f>SUMIF('Registro Refacciones'!B:B, I232, 'Registro Refacciones'!I:I)</f>
        <v>0</v>
      </c>
      <c r="P232" s="26">
        <f>Table1[[#This Row],[Costo Servicio]]+Table1[[#This Row],[Refacciones]]</f>
        <v>0</v>
      </c>
      <c r="Q232" s="26"/>
    </row>
    <row r="233" spans="1:17">
      <c r="A233" s="37" t="str">
        <f>IF(Table1[[#This Row],[Tipo de Servicio]]="","",Caratula!$D$15)</f>
        <v/>
      </c>
      <c r="B233" s="37" t="str">
        <f>IF(Table1[[#This Row],[Tipo de Servicio]]="","",Caratula!$D$16)</f>
        <v/>
      </c>
      <c r="C233" s="24" t="str">
        <f>IF(Table1[[#This Row],[Tipo de Servicio]]="","",Caratula!$D$17)</f>
        <v/>
      </c>
      <c r="D233" s="38" t="str">
        <f>IF(ISBLANK(Table1[[#This Row],[Tipo de Servicio]]),"",Caratula!$D$16)</f>
        <v/>
      </c>
      <c r="F233" t="str">
        <f>_xlfn.XLOOKUP(Table1[[#This Row],[SelGZ]]&amp;Table1[[#This Row],[Tipo de Servicio]],CatPEP!A:A,CatPEP!C:C,"")</f>
        <v/>
      </c>
      <c r="G233" t="str">
        <f>_xlfn.XLOOKUP(Table1[[#This Row],[PEP]],CatPEP!C:C,CatPEP!D:D,"")</f>
        <v/>
      </c>
      <c r="O233" s="53">
        <f>SUMIF('Registro Refacciones'!B:B, I233, 'Registro Refacciones'!I:I)</f>
        <v>0</v>
      </c>
      <c r="P233" s="26">
        <f>Table1[[#This Row],[Costo Servicio]]+Table1[[#This Row],[Refacciones]]</f>
        <v>0</v>
      </c>
      <c r="Q233" s="26"/>
    </row>
    <row r="234" spans="1:17">
      <c r="A234" s="37" t="str">
        <f>IF(Table1[[#This Row],[Tipo de Servicio]]="","",Caratula!$D$15)</f>
        <v/>
      </c>
      <c r="B234" s="37" t="str">
        <f>IF(Table1[[#This Row],[Tipo de Servicio]]="","",Caratula!$D$16)</f>
        <v/>
      </c>
      <c r="C234" s="24" t="str">
        <f>IF(Table1[[#This Row],[Tipo de Servicio]]="","",Caratula!$D$17)</f>
        <v/>
      </c>
      <c r="D234" s="38" t="str">
        <f>IF(ISBLANK(Table1[[#This Row],[Tipo de Servicio]]),"",Caratula!$D$16)</f>
        <v/>
      </c>
      <c r="F234" t="str">
        <f>_xlfn.XLOOKUP(Table1[[#This Row],[SelGZ]]&amp;Table1[[#This Row],[Tipo de Servicio]],CatPEP!A:A,CatPEP!C:C,"")</f>
        <v/>
      </c>
      <c r="G234" t="str">
        <f>_xlfn.XLOOKUP(Table1[[#This Row],[PEP]],CatPEP!C:C,CatPEP!D:D,"")</f>
        <v/>
      </c>
      <c r="O234" s="53">
        <f>SUMIF('Registro Refacciones'!B:B, I234, 'Registro Refacciones'!I:I)</f>
        <v>0</v>
      </c>
      <c r="P234" s="26">
        <f>Table1[[#This Row],[Costo Servicio]]+Table1[[#This Row],[Refacciones]]</f>
        <v>0</v>
      </c>
      <c r="Q234" s="26"/>
    </row>
    <row r="235" spans="1:17">
      <c r="A235" s="37" t="str">
        <f>IF(Table1[[#This Row],[Tipo de Servicio]]="","",Caratula!$D$15)</f>
        <v/>
      </c>
      <c r="B235" s="37" t="str">
        <f>IF(Table1[[#This Row],[Tipo de Servicio]]="","",Caratula!$D$16)</f>
        <v/>
      </c>
      <c r="C235" s="24" t="str">
        <f>IF(Table1[[#This Row],[Tipo de Servicio]]="","",Caratula!$D$17)</f>
        <v/>
      </c>
      <c r="D235" s="38" t="str">
        <f>IF(ISBLANK(Table1[[#This Row],[Tipo de Servicio]]),"",Caratula!$D$16)</f>
        <v/>
      </c>
      <c r="F235" t="str">
        <f>_xlfn.XLOOKUP(Table1[[#This Row],[SelGZ]]&amp;Table1[[#This Row],[Tipo de Servicio]],CatPEP!A:A,CatPEP!C:C,"")</f>
        <v/>
      </c>
      <c r="G235" t="str">
        <f>_xlfn.XLOOKUP(Table1[[#This Row],[PEP]],CatPEP!C:C,CatPEP!D:D,"")</f>
        <v/>
      </c>
      <c r="O235" s="53">
        <f>SUMIF('Registro Refacciones'!B:B, I235, 'Registro Refacciones'!I:I)</f>
        <v>0</v>
      </c>
      <c r="P235" s="26">
        <f>Table1[[#This Row],[Costo Servicio]]+Table1[[#This Row],[Refacciones]]</f>
        <v>0</v>
      </c>
      <c r="Q235" s="26"/>
    </row>
    <row r="236" spans="1:17">
      <c r="A236" s="37" t="str">
        <f>IF(Table1[[#This Row],[Tipo de Servicio]]="","",Caratula!$D$15)</f>
        <v/>
      </c>
      <c r="B236" s="37" t="str">
        <f>IF(Table1[[#This Row],[Tipo de Servicio]]="","",Caratula!$D$16)</f>
        <v/>
      </c>
      <c r="C236" s="24" t="str">
        <f>IF(Table1[[#This Row],[Tipo de Servicio]]="","",Caratula!$D$17)</f>
        <v/>
      </c>
      <c r="D236" s="38" t="str">
        <f>IF(ISBLANK(Table1[[#This Row],[Tipo de Servicio]]),"",Caratula!$D$16)</f>
        <v/>
      </c>
      <c r="F236" t="str">
        <f>_xlfn.XLOOKUP(Table1[[#This Row],[SelGZ]]&amp;Table1[[#This Row],[Tipo de Servicio]],CatPEP!A:A,CatPEP!C:C,"")</f>
        <v/>
      </c>
      <c r="G236" t="str">
        <f>_xlfn.XLOOKUP(Table1[[#This Row],[PEP]],CatPEP!C:C,CatPEP!D:D,"")</f>
        <v/>
      </c>
      <c r="O236" s="53">
        <f>SUMIF('Registro Refacciones'!B:B, I236, 'Registro Refacciones'!I:I)</f>
        <v>0</v>
      </c>
      <c r="P236" s="26">
        <f>Table1[[#This Row],[Costo Servicio]]+Table1[[#This Row],[Refacciones]]</f>
        <v>0</v>
      </c>
      <c r="Q236" s="26"/>
    </row>
    <row r="237" spans="1:17">
      <c r="A237" s="37" t="str">
        <f>IF(Table1[[#This Row],[Tipo de Servicio]]="","",Caratula!$D$15)</f>
        <v/>
      </c>
      <c r="B237" s="37" t="str">
        <f>IF(Table1[[#This Row],[Tipo de Servicio]]="","",Caratula!$D$16)</f>
        <v/>
      </c>
      <c r="C237" s="24" t="str">
        <f>IF(Table1[[#This Row],[Tipo de Servicio]]="","",Caratula!$D$17)</f>
        <v/>
      </c>
      <c r="D237" s="38" t="str">
        <f>IF(ISBLANK(Table1[[#This Row],[Tipo de Servicio]]),"",Caratula!$D$16)</f>
        <v/>
      </c>
      <c r="F237" t="str">
        <f>_xlfn.XLOOKUP(Table1[[#This Row],[SelGZ]]&amp;Table1[[#This Row],[Tipo de Servicio]],CatPEP!A:A,CatPEP!C:C,"")</f>
        <v/>
      </c>
      <c r="G237" t="str">
        <f>_xlfn.XLOOKUP(Table1[[#This Row],[PEP]],CatPEP!C:C,CatPEP!D:D,"")</f>
        <v/>
      </c>
      <c r="O237" s="53">
        <f>SUMIF('Registro Refacciones'!B:B, I237, 'Registro Refacciones'!I:I)</f>
        <v>0</v>
      </c>
      <c r="P237" s="26">
        <f>Table1[[#This Row],[Costo Servicio]]+Table1[[#This Row],[Refacciones]]</f>
        <v>0</v>
      </c>
      <c r="Q237" s="26"/>
    </row>
    <row r="238" spans="1:17">
      <c r="A238" s="37" t="str">
        <f>IF(Table1[[#This Row],[Tipo de Servicio]]="","",Caratula!$D$15)</f>
        <v/>
      </c>
      <c r="B238" s="37" t="str">
        <f>IF(Table1[[#This Row],[Tipo de Servicio]]="","",Caratula!$D$16)</f>
        <v/>
      </c>
      <c r="C238" s="24" t="str">
        <f>IF(Table1[[#This Row],[Tipo de Servicio]]="","",Caratula!$D$17)</f>
        <v/>
      </c>
      <c r="D238" s="38" t="str">
        <f>IF(ISBLANK(Table1[[#This Row],[Tipo de Servicio]]),"",Caratula!$D$16)</f>
        <v/>
      </c>
      <c r="F238" t="str">
        <f>_xlfn.XLOOKUP(Table1[[#This Row],[SelGZ]]&amp;Table1[[#This Row],[Tipo de Servicio]],CatPEP!A:A,CatPEP!C:C,"")</f>
        <v/>
      </c>
      <c r="G238" t="str">
        <f>_xlfn.XLOOKUP(Table1[[#This Row],[PEP]],CatPEP!C:C,CatPEP!D:D,"")</f>
        <v/>
      </c>
      <c r="O238" s="53">
        <f>SUMIF('Registro Refacciones'!B:B, I238, 'Registro Refacciones'!I:I)</f>
        <v>0</v>
      </c>
      <c r="P238" s="26">
        <f>Table1[[#This Row],[Costo Servicio]]+Table1[[#This Row],[Refacciones]]</f>
        <v>0</v>
      </c>
      <c r="Q238" s="26"/>
    </row>
    <row r="239" spans="1:17">
      <c r="A239" s="37" t="str">
        <f>IF(Table1[[#This Row],[Tipo de Servicio]]="","",Caratula!$D$15)</f>
        <v/>
      </c>
      <c r="B239" s="37" t="str">
        <f>IF(Table1[[#This Row],[Tipo de Servicio]]="","",Caratula!$D$16)</f>
        <v/>
      </c>
      <c r="C239" s="24" t="str">
        <f>IF(Table1[[#This Row],[Tipo de Servicio]]="","",Caratula!$D$17)</f>
        <v/>
      </c>
      <c r="D239" s="38" t="str">
        <f>IF(ISBLANK(Table1[[#This Row],[Tipo de Servicio]]),"",Caratula!$D$16)</f>
        <v/>
      </c>
      <c r="F239" t="str">
        <f>_xlfn.XLOOKUP(Table1[[#This Row],[SelGZ]]&amp;Table1[[#This Row],[Tipo de Servicio]],CatPEP!A:A,CatPEP!C:C,"")</f>
        <v/>
      </c>
      <c r="G239" t="str">
        <f>_xlfn.XLOOKUP(Table1[[#This Row],[PEP]],CatPEP!C:C,CatPEP!D:D,"")</f>
        <v/>
      </c>
      <c r="O239" s="53">
        <f>SUMIF('Registro Refacciones'!B:B, I239, 'Registro Refacciones'!I:I)</f>
        <v>0</v>
      </c>
      <c r="P239" s="26">
        <f>Table1[[#This Row],[Costo Servicio]]+Table1[[#This Row],[Refacciones]]</f>
        <v>0</v>
      </c>
      <c r="Q239" s="26"/>
    </row>
    <row r="240" spans="1:17">
      <c r="A240" s="37" t="str">
        <f>IF(Table1[[#This Row],[Tipo de Servicio]]="","",Caratula!$D$15)</f>
        <v/>
      </c>
      <c r="B240" s="37" t="str">
        <f>IF(Table1[[#This Row],[Tipo de Servicio]]="","",Caratula!$D$16)</f>
        <v/>
      </c>
      <c r="C240" s="24" t="str">
        <f>IF(Table1[[#This Row],[Tipo de Servicio]]="","",Caratula!$D$17)</f>
        <v/>
      </c>
      <c r="D240" s="38" t="str">
        <f>IF(ISBLANK(Table1[[#This Row],[Tipo de Servicio]]),"",Caratula!$D$16)</f>
        <v/>
      </c>
      <c r="F240" t="str">
        <f>_xlfn.XLOOKUP(Table1[[#This Row],[SelGZ]]&amp;Table1[[#This Row],[Tipo de Servicio]],CatPEP!A:A,CatPEP!C:C,"")</f>
        <v/>
      </c>
      <c r="G240" t="str">
        <f>_xlfn.XLOOKUP(Table1[[#This Row],[PEP]],CatPEP!C:C,CatPEP!D:D,"")</f>
        <v/>
      </c>
      <c r="O240" s="53">
        <f>SUMIF('Registro Refacciones'!B:B, I240, 'Registro Refacciones'!I:I)</f>
        <v>0</v>
      </c>
      <c r="P240" s="26">
        <f>Table1[[#This Row],[Costo Servicio]]+Table1[[#This Row],[Refacciones]]</f>
        <v>0</v>
      </c>
      <c r="Q240" s="26"/>
    </row>
    <row r="241" spans="1:17">
      <c r="A241" s="37" t="str">
        <f>IF(Table1[[#This Row],[Tipo de Servicio]]="","",Caratula!$D$15)</f>
        <v/>
      </c>
      <c r="B241" s="37" t="str">
        <f>IF(Table1[[#This Row],[Tipo de Servicio]]="","",Caratula!$D$16)</f>
        <v/>
      </c>
      <c r="C241" s="24" t="str">
        <f>IF(Table1[[#This Row],[Tipo de Servicio]]="","",Caratula!$D$17)</f>
        <v/>
      </c>
      <c r="D241" s="38" t="str">
        <f>IF(ISBLANK(Table1[[#This Row],[Tipo de Servicio]]),"",Caratula!$D$16)</f>
        <v/>
      </c>
      <c r="F241" t="str">
        <f>_xlfn.XLOOKUP(Table1[[#This Row],[SelGZ]]&amp;Table1[[#This Row],[Tipo de Servicio]],CatPEP!A:A,CatPEP!C:C,"")</f>
        <v/>
      </c>
      <c r="G241" t="str">
        <f>_xlfn.XLOOKUP(Table1[[#This Row],[PEP]],CatPEP!C:C,CatPEP!D:D,"")</f>
        <v/>
      </c>
      <c r="O241" s="53">
        <f>SUMIF('Registro Refacciones'!B:B, I241, 'Registro Refacciones'!I:I)</f>
        <v>0</v>
      </c>
      <c r="P241" s="26">
        <f>Table1[[#This Row],[Costo Servicio]]+Table1[[#This Row],[Refacciones]]</f>
        <v>0</v>
      </c>
      <c r="Q241" s="26"/>
    </row>
    <row r="242" spans="1:17">
      <c r="A242" s="37" t="str">
        <f>IF(Table1[[#This Row],[Tipo de Servicio]]="","",Caratula!$D$15)</f>
        <v/>
      </c>
      <c r="B242" s="37" t="str">
        <f>IF(Table1[[#This Row],[Tipo de Servicio]]="","",Caratula!$D$16)</f>
        <v/>
      </c>
      <c r="C242" s="24" t="str">
        <f>IF(Table1[[#This Row],[Tipo de Servicio]]="","",Caratula!$D$17)</f>
        <v/>
      </c>
      <c r="D242" s="38" t="str">
        <f>IF(ISBLANK(Table1[[#This Row],[Tipo de Servicio]]),"",Caratula!$D$16)</f>
        <v/>
      </c>
      <c r="F242" t="str">
        <f>_xlfn.XLOOKUP(Table1[[#This Row],[SelGZ]]&amp;Table1[[#This Row],[Tipo de Servicio]],CatPEP!A:A,CatPEP!C:C,"")</f>
        <v/>
      </c>
      <c r="G242" t="str">
        <f>_xlfn.XLOOKUP(Table1[[#This Row],[PEP]],CatPEP!C:C,CatPEP!D:D,"")</f>
        <v/>
      </c>
      <c r="O242" s="53">
        <f>SUMIF('Registro Refacciones'!B:B, I242, 'Registro Refacciones'!I:I)</f>
        <v>0</v>
      </c>
      <c r="P242" s="26">
        <f>Table1[[#This Row],[Costo Servicio]]+Table1[[#This Row],[Refacciones]]</f>
        <v>0</v>
      </c>
      <c r="Q242" s="26"/>
    </row>
    <row r="243" spans="1:17">
      <c r="A243" s="37" t="str">
        <f>IF(Table1[[#This Row],[Tipo de Servicio]]="","",Caratula!$D$15)</f>
        <v/>
      </c>
      <c r="B243" s="37" t="str">
        <f>IF(Table1[[#This Row],[Tipo de Servicio]]="","",Caratula!$D$16)</f>
        <v/>
      </c>
      <c r="C243" s="24" t="str">
        <f>IF(Table1[[#This Row],[Tipo de Servicio]]="","",Caratula!$D$17)</f>
        <v/>
      </c>
      <c r="D243" s="38" t="str">
        <f>IF(ISBLANK(Table1[[#This Row],[Tipo de Servicio]]),"",Caratula!$D$16)</f>
        <v/>
      </c>
      <c r="F243" t="str">
        <f>_xlfn.XLOOKUP(Table1[[#This Row],[SelGZ]]&amp;Table1[[#This Row],[Tipo de Servicio]],CatPEP!A:A,CatPEP!C:C,"")</f>
        <v/>
      </c>
      <c r="G243" t="str">
        <f>_xlfn.XLOOKUP(Table1[[#This Row],[PEP]],CatPEP!C:C,CatPEP!D:D,"")</f>
        <v/>
      </c>
      <c r="O243" s="53">
        <f>SUMIF('Registro Refacciones'!B:B, I243, 'Registro Refacciones'!I:I)</f>
        <v>0</v>
      </c>
      <c r="P243" s="26">
        <f>Table1[[#This Row],[Costo Servicio]]+Table1[[#This Row],[Refacciones]]</f>
        <v>0</v>
      </c>
      <c r="Q243" s="26"/>
    </row>
    <row r="244" spans="1:17">
      <c r="A244" s="37" t="str">
        <f>IF(Table1[[#This Row],[Tipo de Servicio]]="","",Caratula!$D$15)</f>
        <v/>
      </c>
      <c r="B244" s="37" t="str">
        <f>IF(Table1[[#This Row],[Tipo de Servicio]]="","",Caratula!$D$16)</f>
        <v/>
      </c>
      <c r="C244" s="24" t="str">
        <f>IF(Table1[[#This Row],[Tipo de Servicio]]="","",Caratula!$D$17)</f>
        <v/>
      </c>
      <c r="D244" s="38" t="str">
        <f>IF(ISBLANK(Table1[[#This Row],[Tipo de Servicio]]),"",Caratula!$D$16)</f>
        <v/>
      </c>
      <c r="F244" t="str">
        <f>_xlfn.XLOOKUP(Table1[[#This Row],[SelGZ]]&amp;Table1[[#This Row],[Tipo de Servicio]],CatPEP!A:A,CatPEP!C:C,"")</f>
        <v/>
      </c>
      <c r="G244" t="str">
        <f>_xlfn.XLOOKUP(Table1[[#This Row],[PEP]],CatPEP!C:C,CatPEP!D:D,"")</f>
        <v/>
      </c>
      <c r="O244" s="53">
        <f>SUMIF('Registro Refacciones'!B:B, I244, 'Registro Refacciones'!I:I)</f>
        <v>0</v>
      </c>
      <c r="P244" s="26">
        <f>Table1[[#This Row],[Costo Servicio]]+Table1[[#This Row],[Refacciones]]</f>
        <v>0</v>
      </c>
      <c r="Q244" s="26"/>
    </row>
    <row r="245" spans="1:17">
      <c r="A245" s="37" t="str">
        <f>IF(Table1[[#This Row],[Tipo de Servicio]]="","",Caratula!$D$15)</f>
        <v/>
      </c>
      <c r="B245" s="37" t="str">
        <f>IF(Table1[[#This Row],[Tipo de Servicio]]="","",Caratula!$D$16)</f>
        <v/>
      </c>
      <c r="C245" s="24" t="str">
        <f>IF(Table1[[#This Row],[Tipo de Servicio]]="","",Caratula!$D$17)</f>
        <v/>
      </c>
      <c r="D245" s="38" t="str">
        <f>IF(ISBLANK(Table1[[#This Row],[Tipo de Servicio]]),"",Caratula!$D$16)</f>
        <v/>
      </c>
      <c r="F245" t="str">
        <f>_xlfn.XLOOKUP(Table1[[#This Row],[SelGZ]]&amp;Table1[[#This Row],[Tipo de Servicio]],CatPEP!A:A,CatPEP!C:C,"")</f>
        <v/>
      </c>
      <c r="G245" t="str">
        <f>_xlfn.XLOOKUP(Table1[[#This Row],[PEP]],CatPEP!C:C,CatPEP!D:D,"")</f>
        <v/>
      </c>
      <c r="O245" s="53">
        <f>SUMIF('Registro Refacciones'!B:B, I245, 'Registro Refacciones'!I:I)</f>
        <v>0</v>
      </c>
      <c r="P245" s="26">
        <f>Table1[[#This Row],[Costo Servicio]]+Table1[[#This Row],[Refacciones]]</f>
        <v>0</v>
      </c>
      <c r="Q245" s="26"/>
    </row>
    <row r="246" spans="1:17">
      <c r="A246" s="37" t="str">
        <f>IF(Table1[[#This Row],[Tipo de Servicio]]="","",Caratula!$D$15)</f>
        <v/>
      </c>
      <c r="B246" s="37" t="str">
        <f>IF(Table1[[#This Row],[Tipo de Servicio]]="","",Caratula!$D$16)</f>
        <v/>
      </c>
      <c r="C246" s="24" t="str">
        <f>IF(Table1[[#This Row],[Tipo de Servicio]]="","",Caratula!$D$17)</f>
        <v/>
      </c>
      <c r="D246" s="38" t="str">
        <f>IF(ISBLANK(Table1[[#This Row],[Tipo de Servicio]]),"",Caratula!$D$16)</f>
        <v/>
      </c>
      <c r="F246" t="str">
        <f>_xlfn.XLOOKUP(Table1[[#This Row],[SelGZ]]&amp;Table1[[#This Row],[Tipo de Servicio]],CatPEP!A:A,CatPEP!C:C,"")</f>
        <v/>
      </c>
      <c r="G246" t="str">
        <f>_xlfn.XLOOKUP(Table1[[#This Row],[PEP]],CatPEP!C:C,CatPEP!D:D,"")</f>
        <v/>
      </c>
      <c r="O246" s="53">
        <f>SUMIF('Registro Refacciones'!B:B, I246, 'Registro Refacciones'!I:I)</f>
        <v>0</v>
      </c>
      <c r="P246" s="26">
        <f>Table1[[#This Row],[Costo Servicio]]+Table1[[#This Row],[Refacciones]]</f>
        <v>0</v>
      </c>
      <c r="Q246" s="26"/>
    </row>
    <row r="247" spans="1:17">
      <c r="A247" s="37" t="str">
        <f>IF(Table1[[#This Row],[Tipo de Servicio]]="","",Caratula!$D$15)</f>
        <v/>
      </c>
      <c r="B247" s="37" t="str">
        <f>IF(Table1[[#This Row],[Tipo de Servicio]]="","",Caratula!$D$16)</f>
        <v/>
      </c>
      <c r="C247" s="24" t="str">
        <f>IF(Table1[[#This Row],[Tipo de Servicio]]="","",Caratula!$D$17)</f>
        <v/>
      </c>
      <c r="D247" s="38" t="str">
        <f>IF(ISBLANK(Table1[[#This Row],[Tipo de Servicio]]),"",Caratula!$D$16)</f>
        <v/>
      </c>
      <c r="F247" t="str">
        <f>_xlfn.XLOOKUP(Table1[[#This Row],[SelGZ]]&amp;Table1[[#This Row],[Tipo de Servicio]],CatPEP!A:A,CatPEP!C:C,"")</f>
        <v/>
      </c>
      <c r="G247" t="str">
        <f>_xlfn.XLOOKUP(Table1[[#This Row],[PEP]],CatPEP!C:C,CatPEP!D:D,"")</f>
        <v/>
      </c>
      <c r="O247" s="53">
        <f>SUMIF('Registro Refacciones'!B:B, I247, 'Registro Refacciones'!I:I)</f>
        <v>0</v>
      </c>
      <c r="P247" s="26">
        <f>Table1[[#This Row],[Costo Servicio]]+Table1[[#This Row],[Refacciones]]</f>
        <v>0</v>
      </c>
      <c r="Q247" s="26"/>
    </row>
    <row r="248" spans="1:17">
      <c r="A248" s="37" t="str">
        <f>IF(Table1[[#This Row],[Tipo de Servicio]]="","",Caratula!$D$15)</f>
        <v/>
      </c>
      <c r="B248" s="37" t="str">
        <f>IF(Table1[[#This Row],[Tipo de Servicio]]="","",Caratula!$D$16)</f>
        <v/>
      </c>
      <c r="C248" s="24" t="str">
        <f>IF(Table1[[#This Row],[Tipo de Servicio]]="","",Caratula!$D$17)</f>
        <v/>
      </c>
      <c r="D248" s="38" t="str">
        <f>IF(ISBLANK(Table1[[#This Row],[Tipo de Servicio]]),"",Caratula!$D$16)</f>
        <v/>
      </c>
      <c r="F248" t="str">
        <f>_xlfn.XLOOKUP(Table1[[#This Row],[SelGZ]]&amp;Table1[[#This Row],[Tipo de Servicio]],CatPEP!A:A,CatPEP!C:C,"")</f>
        <v/>
      </c>
      <c r="G248" t="str">
        <f>_xlfn.XLOOKUP(Table1[[#This Row],[PEP]],CatPEP!C:C,CatPEP!D:D,"")</f>
        <v/>
      </c>
      <c r="O248" s="53">
        <f>SUMIF('Registro Refacciones'!B:B, I248, 'Registro Refacciones'!I:I)</f>
        <v>0</v>
      </c>
      <c r="P248" s="26">
        <f>Table1[[#This Row],[Costo Servicio]]+Table1[[#This Row],[Refacciones]]</f>
        <v>0</v>
      </c>
      <c r="Q248" s="26"/>
    </row>
    <row r="249" spans="1:17">
      <c r="A249" s="37" t="str">
        <f>IF(Table1[[#This Row],[Tipo de Servicio]]="","",Caratula!$D$15)</f>
        <v/>
      </c>
      <c r="B249" s="37" t="str">
        <f>IF(Table1[[#This Row],[Tipo de Servicio]]="","",Caratula!$D$16)</f>
        <v/>
      </c>
      <c r="C249" s="24" t="str">
        <f>IF(Table1[[#This Row],[Tipo de Servicio]]="","",Caratula!$D$17)</f>
        <v/>
      </c>
      <c r="D249" s="38" t="str">
        <f>IF(ISBLANK(Table1[[#This Row],[Tipo de Servicio]]),"",Caratula!$D$16)</f>
        <v/>
      </c>
      <c r="F249" t="str">
        <f>_xlfn.XLOOKUP(Table1[[#This Row],[SelGZ]]&amp;Table1[[#This Row],[Tipo de Servicio]],CatPEP!A:A,CatPEP!C:C,"")</f>
        <v/>
      </c>
      <c r="G249" t="str">
        <f>_xlfn.XLOOKUP(Table1[[#This Row],[PEP]],CatPEP!C:C,CatPEP!D:D,"")</f>
        <v/>
      </c>
      <c r="O249" s="53">
        <f>SUMIF('Registro Refacciones'!B:B, I249, 'Registro Refacciones'!I:I)</f>
        <v>0</v>
      </c>
      <c r="P249" s="26">
        <f>Table1[[#This Row],[Costo Servicio]]+Table1[[#This Row],[Refacciones]]</f>
        <v>0</v>
      </c>
      <c r="Q249" s="26"/>
    </row>
    <row r="250" spans="1:17">
      <c r="A250" s="37" t="str">
        <f>IF(Table1[[#This Row],[Tipo de Servicio]]="","",Caratula!$D$15)</f>
        <v/>
      </c>
      <c r="B250" s="37" t="str">
        <f>IF(Table1[[#This Row],[Tipo de Servicio]]="","",Caratula!$D$16)</f>
        <v/>
      </c>
      <c r="C250" s="24" t="str">
        <f>IF(Table1[[#This Row],[Tipo de Servicio]]="","",Caratula!$D$17)</f>
        <v/>
      </c>
      <c r="D250" s="38" t="str">
        <f>IF(ISBLANK(Table1[[#This Row],[Tipo de Servicio]]),"",Caratula!$D$16)</f>
        <v/>
      </c>
      <c r="F250" t="str">
        <f>_xlfn.XLOOKUP(Table1[[#This Row],[SelGZ]]&amp;Table1[[#This Row],[Tipo de Servicio]],CatPEP!A:A,CatPEP!C:C,"")</f>
        <v/>
      </c>
      <c r="G250" t="str">
        <f>_xlfn.XLOOKUP(Table1[[#This Row],[PEP]],CatPEP!C:C,CatPEP!D:D,"")</f>
        <v/>
      </c>
      <c r="O250" s="53">
        <f>SUMIF('Registro Refacciones'!B:B, I250, 'Registro Refacciones'!I:I)</f>
        <v>0</v>
      </c>
      <c r="P250" s="26">
        <f>Table1[[#This Row],[Costo Servicio]]+Table1[[#This Row],[Refacciones]]</f>
        <v>0</v>
      </c>
      <c r="Q250" s="26"/>
    </row>
    <row r="251" spans="1:17">
      <c r="A251" s="37" t="str">
        <f>IF(Table1[[#This Row],[Tipo de Servicio]]="","",Caratula!$D$15)</f>
        <v/>
      </c>
      <c r="B251" s="37" t="str">
        <f>IF(Table1[[#This Row],[Tipo de Servicio]]="","",Caratula!$D$16)</f>
        <v/>
      </c>
      <c r="C251" s="24" t="str">
        <f>IF(Table1[[#This Row],[Tipo de Servicio]]="","",Caratula!$D$17)</f>
        <v/>
      </c>
      <c r="D251" s="38" t="str">
        <f>IF(ISBLANK(Table1[[#This Row],[Tipo de Servicio]]),"",Caratula!$D$16)</f>
        <v/>
      </c>
      <c r="F251" t="str">
        <f>_xlfn.XLOOKUP(Table1[[#This Row],[SelGZ]]&amp;Table1[[#This Row],[Tipo de Servicio]],CatPEP!A:A,CatPEP!C:C,"")</f>
        <v/>
      </c>
      <c r="G251" t="str">
        <f>_xlfn.XLOOKUP(Table1[[#This Row],[PEP]],CatPEP!C:C,CatPEP!D:D,"")</f>
        <v/>
      </c>
      <c r="O251" s="53">
        <f>SUMIF('Registro Refacciones'!B:B, I251, 'Registro Refacciones'!I:I)</f>
        <v>0</v>
      </c>
      <c r="P251" s="26">
        <f>Table1[[#This Row],[Costo Servicio]]+Table1[[#This Row],[Refacciones]]</f>
        <v>0</v>
      </c>
      <c r="Q251" s="26"/>
    </row>
    <row r="252" spans="1:17">
      <c r="A252" s="37" t="str">
        <f>IF(Table1[[#This Row],[Tipo de Servicio]]="","",Caratula!$D$15)</f>
        <v/>
      </c>
      <c r="B252" s="37" t="str">
        <f>IF(Table1[[#This Row],[Tipo de Servicio]]="","",Caratula!$D$16)</f>
        <v/>
      </c>
      <c r="C252" s="24" t="str">
        <f>IF(Table1[[#This Row],[Tipo de Servicio]]="","",Caratula!$D$17)</f>
        <v/>
      </c>
      <c r="D252" s="38" t="str">
        <f>IF(ISBLANK(Table1[[#This Row],[Tipo de Servicio]]),"",Caratula!$D$16)</f>
        <v/>
      </c>
      <c r="F252" t="str">
        <f>_xlfn.XLOOKUP(Table1[[#This Row],[SelGZ]]&amp;Table1[[#This Row],[Tipo de Servicio]],CatPEP!A:A,CatPEP!C:C,"")</f>
        <v/>
      </c>
      <c r="G252" t="str">
        <f>_xlfn.XLOOKUP(Table1[[#This Row],[PEP]],CatPEP!C:C,CatPEP!D:D,"")</f>
        <v/>
      </c>
      <c r="O252" s="53">
        <f>SUMIF('Registro Refacciones'!B:B, I252, 'Registro Refacciones'!I:I)</f>
        <v>0</v>
      </c>
      <c r="P252" s="26">
        <f>Table1[[#This Row],[Costo Servicio]]+Table1[[#This Row],[Refacciones]]</f>
        <v>0</v>
      </c>
      <c r="Q252" s="26"/>
    </row>
    <row r="253" spans="1:17">
      <c r="A253" s="37" t="str">
        <f>IF(Table1[[#This Row],[Tipo de Servicio]]="","",Caratula!$D$15)</f>
        <v/>
      </c>
      <c r="B253" s="37" t="str">
        <f>IF(Table1[[#This Row],[Tipo de Servicio]]="","",Caratula!$D$16)</f>
        <v/>
      </c>
      <c r="C253" s="24" t="str">
        <f>IF(Table1[[#This Row],[Tipo de Servicio]]="","",Caratula!$D$17)</f>
        <v/>
      </c>
      <c r="D253" s="38" t="str">
        <f>IF(ISBLANK(Table1[[#This Row],[Tipo de Servicio]]),"",Caratula!$D$16)</f>
        <v/>
      </c>
      <c r="F253" t="str">
        <f>_xlfn.XLOOKUP(Table1[[#This Row],[SelGZ]]&amp;Table1[[#This Row],[Tipo de Servicio]],CatPEP!A:A,CatPEP!C:C,"")</f>
        <v/>
      </c>
      <c r="G253" t="str">
        <f>_xlfn.XLOOKUP(Table1[[#This Row],[PEP]],CatPEP!C:C,CatPEP!D:D,"")</f>
        <v/>
      </c>
      <c r="O253" s="53">
        <f>SUMIF('Registro Refacciones'!B:B, I253, 'Registro Refacciones'!I:I)</f>
        <v>0</v>
      </c>
      <c r="P253" s="26">
        <f>Table1[[#This Row],[Costo Servicio]]+Table1[[#This Row],[Refacciones]]</f>
        <v>0</v>
      </c>
      <c r="Q253" s="26"/>
    </row>
    <row r="254" spans="1:17">
      <c r="A254" s="37" t="str">
        <f>IF(Table1[[#This Row],[Tipo de Servicio]]="","",Caratula!$D$15)</f>
        <v/>
      </c>
      <c r="B254" s="37" t="str">
        <f>IF(Table1[[#This Row],[Tipo de Servicio]]="","",Caratula!$D$16)</f>
        <v/>
      </c>
      <c r="C254" s="24" t="str">
        <f>IF(Table1[[#This Row],[Tipo de Servicio]]="","",Caratula!$D$17)</f>
        <v/>
      </c>
      <c r="D254" s="38" t="str">
        <f>IF(ISBLANK(Table1[[#This Row],[Tipo de Servicio]]),"",Caratula!$D$16)</f>
        <v/>
      </c>
      <c r="F254" t="str">
        <f>_xlfn.XLOOKUP(Table1[[#This Row],[SelGZ]]&amp;Table1[[#This Row],[Tipo de Servicio]],CatPEP!A:A,CatPEP!C:C,"")</f>
        <v/>
      </c>
      <c r="G254" t="str">
        <f>_xlfn.XLOOKUP(Table1[[#This Row],[PEP]],CatPEP!C:C,CatPEP!D:D,"")</f>
        <v/>
      </c>
      <c r="O254" s="53">
        <f>SUMIF('Registro Refacciones'!B:B, I254, 'Registro Refacciones'!I:I)</f>
        <v>0</v>
      </c>
      <c r="P254" s="26">
        <f>Table1[[#This Row],[Costo Servicio]]+Table1[[#This Row],[Refacciones]]</f>
        <v>0</v>
      </c>
      <c r="Q254" s="26"/>
    </row>
    <row r="255" spans="1:17">
      <c r="A255" s="37" t="str">
        <f>IF(Table1[[#This Row],[Tipo de Servicio]]="","",Caratula!$D$15)</f>
        <v/>
      </c>
      <c r="B255" s="37" t="str">
        <f>IF(Table1[[#This Row],[Tipo de Servicio]]="","",Caratula!$D$16)</f>
        <v/>
      </c>
      <c r="C255" s="24" t="str">
        <f>IF(Table1[[#This Row],[Tipo de Servicio]]="","",Caratula!$D$17)</f>
        <v/>
      </c>
      <c r="D255" s="38" t="str">
        <f>IF(ISBLANK(Table1[[#This Row],[Tipo de Servicio]]),"",Caratula!$D$16)</f>
        <v/>
      </c>
      <c r="F255" t="str">
        <f>_xlfn.XLOOKUP(Table1[[#This Row],[SelGZ]]&amp;Table1[[#This Row],[Tipo de Servicio]],CatPEP!A:A,CatPEP!C:C,"")</f>
        <v/>
      </c>
      <c r="G255" t="str">
        <f>_xlfn.XLOOKUP(Table1[[#This Row],[PEP]],CatPEP!C:C,CatPEP!D:D,"")</f>
        <v/>
      </c>
      <c r="O255" s="53">
        <f>SUMIF('Registro Refacciones'!B:B, I255, 'Registro Refacciones'!I:I)</f>
        <v>0</v>
      </c>
      <c r="P255" s="26">
        <f>Table1[[#This Row],[Costo Servicio]]+Table1[[#This Row],[Refacciones]]</f>
        <v>0</v>
      </c>
      <c r="Q255" s="26"/>
    </row>
    <row r="256" spans="1:17">
      <c r="A256" s="37" t="str">
        <f>IF(Table1[[#This Row],[Tipo de Servicio]]="","",Caratula!$D$15)</f>
        <v/>
      </c>
      <c r="B256" s="37" t="str">
        <f>IF(Table1[[#This Row],[Tipo de Servicio]]="","",Caratula!$D$16)</f>
        <v/>
      </c>
      <c r="C256" s="24" t="str">
        <f>IF(Table1[[#This Row],[Tipo de Servicio]]="","",Caratula!$D$17)</f>
        <v/>
      </c>
      <c r="D256" s="38" t="str">
        <f>IF(ISBLANK(Table1[[#This Row],[Tipo de Servicio]]),"",Caratula!$D$16)</f>
        <v/>
      </c>
      <c r="F256" t="str">
        <f>_xlfn.XLOOKUP(Table1[[#This Row],[SelGZ]]&amp;Table1[[#This Row],[Tipo de Servicio]],CatPEP!A:A,CatPEP!C:C,"")</f>
        <v/>
      </c>
      <c r="G256" t="str">
        <f>_xlfn.XLOOKUP(Table1[[#This Row],[PEP]],CatPEP!C:C,CatPEP!D:D,"")</f>
        <v/>
      </c>
      <c r="O256" s="53">
        <f>SUMIF('Registro Refacciones'!B:B, I256, 'Registro Refacciones'!I:I)</f>
        <v>0</v>
      </c>
      <c r="P256" s="26">
        <f>Table1[[#This Row],[Costo Servicio]]+Table1[[#This Row],[Refacciones]]</f>
        <v>0</v>
      </c>
      <c r="Q256" s="26"/>
    </row>
    <row r="257" spans="1:17">
      <c r="A257" s="37" t="str">
        <f>IF(Table1[[#This Row],[Tipo de Servicio]]="","",Caratula!$D$15)</f>
        <v/>
      </c>
      <c r="B257" s="37" t="str">
        <f>IF(Table1[[#This Row],[Tipo de Servicio]]="","",Caratula!$D$16)</f>
        <v/>
      </c>
      <c r="C257" s="24" t="str">
        <f>IF(Table1[[#This Row],[Tipo de Servicio]]="","",Caratula!$D$17)</f>
        <v/>
      </c>
      <c r="D257" s="38" t="str">
        <f>IF(ISBLANK(Table1[[#This Row],[Tipo de Servicio]]),"",Caratula!$D$16)</f>
        <v/>
      </c>
      <c r="F257" t="str">
        <f>_xlfn.XLOOKUP(Table1[[#This Row],[SelGZ]]&amp;Table1[[#This Row],[Tipo de Servicio]],CatPEP!A:A,CatPEP!C:C,"")</f>
        <v/>
      </c>
      <c r="G257" t="str">
        <f>_xlfn.XLOOKUP(Table1[[#This Row],[PEP]],CatPEP!C:C,CatPEP!D:D,"")</f>
        <v/>
      </c>
      <c r="O257" s="53">
        <f>SUMIF('Registro Refacciones'!B:B, I257, 'Registro Refacciones'!I:I)</f>
        <v>0</v>
      </c>
      <c r="P257" s="26">
        <f>Table1[[#This Row],[Costo Servicio]]+Table1[[#This Row],[Refacciones]]</f>
        <v>0</v>
      </c>
      <c r="Q257" s="26"/>
    </row>
    <row r="258" spans="1:17">
      <c r="A258" s="37" t="str">
        <f>IF(Table1[[#This Row],[Tipo de Servicio]]="","",Caratula!$D$15)</f>
        <v/>
      </c>
      <c r="B258" s="37" t="str">
        <f>IF(Table1[[#This Row],[Tipo de Servicio]]="","",Caratula!$D$16)</f>
        <v/>
      </c>
      <c r="C258" s="24" t="str">
        <f>IF(Table1[[#This Row],[Tipo de Servicio]]="","",Caratula!$D$17)</f>
        <v/>
      </c>
      <c r="D258" s="38" t="str">
        <f>IF(ISBLANK(Table1[[#This Row],[Tipo de Servicio]]),"",Caratula!$D$16)</f>
        <v/>
      </c>
      <c r="F258" t="str">
        <f>_xlfn.XLOOKUP(Table1[[#This Row],[SelGZ]]&amp;Table1[[#This Row],[Tipo de Servicio]],CatPEP!A:A,CatPEP!C:C,"")</f>
        <v/>
      </c>
      <c r="G258" t="str">
        <f>_xlfn.XLOOKUP(Table1[[#This Row],[PEP]],CatPEP!C:C,CatPEP!D:D,"")</f>
        <v/>
      </c>
      <c r="O258" s="53">
        <f>SUMIF('Registro Refacciones'!B:B, I258, 'Registro Refacciones'!I:I)</f>
        <v>0</v>
      </c>
      <c r="P258" s="26">
        <f>Table1[[#This Row],[Costo Servicio]]+Table1[[#This Row],[Refacciones]]</f>
        <v>0</v>
      </c>
      <c r="Q258" s="26"/>
    </row>
    <row r="259" spans="1:17">
      <c r="A259" s="37" t="str">
        <f>IF(Table1[[#This Row],[Tipo de Servicio]]="","",Caratula!$D$15)</f>
        <v/>
      </c>
      <c r="B259" s="37" t="str">
        <f>IF(Table1[[#This Row],[Tipo de Servicio]]="","",Caratula!$D$16)</f>
        <v/>
      </c>
      <c r="C259" s="24" t="str">
        <f>IF(Table1[[#This Row],[Tipo de Servicio]]="","",Caratula!$D$17)</f>
        <v/>
      </c>
      <c r="D259" s="38" t="str">
        <f>IF(ISBLANK(Table1[[#This Row],[Tipo de Servicio]]),"",Caratula!$D$16)</f>
        <v/>
      </c>
      <c r="F259" t="str">
        <f>_xlfn.XLOOKUP(Table1[[#This Row],[SelGZ]]&amp;Table1[[#This Row],[Tipo de Servicio]],CatPEP!A:A,CatPEP!C:C,"")</f>
        <v/>
      </c>
      <c r="G259" t="str">
        <f>_xlfn.XLOOKUP(Table1[[#This Row],[PEP]],CatPEP!C:C,CatPEP!D:D,"")</f>
        <v/>
      </c>
      <c r="O259" s="53">
        <f>SUMIF('Registro Refacciones'!B:B, I259, 'Registro Refacciones'!I:I)</f>
        <v>0</v>
      </c>
      <c r="P259" s="26">
        <f>Table1[[#This Row],[Costo Servicio]]+Table1[[#This Row],[Refacciones]]</f>
        <v>0</v>
      </c>
      <c r="Q259" s="26"/>
    </row>
    <row r="260" spans="1:17">
      <c r="A260" s="37" t="str">
        <f>IF(Table1[[#This Row],[Tipo de Servicio]]="","",Caratula!$D$15)</f>
        <v/>
      </c>
      <c r="B260" s="37" t="str">
        <f>IF(Table1[[#This Row],[Tipo de Servicio]]="","",Caratula!$D$16)</f>
        <v/>
      </c>
      <c r="C260" s="24" t="str">
        <f>IF(Table1[[#This Row],[Tipo de Servicio]]="","",Caratula!$D$17)</f>
        <v/>
      </c>
      <c r="D260" s="38" t="str">
        <f>IF(ISBLANK(Table1[[#This Row],[Tipo de Servicio]]),"",Caratula!$D$16)</f>
        <v/>
      </c>
      <c r="F260" t="str">
        <f>_xlfn.XLOOKUP(Table1[[#This Row],[SelGZ]]&amp;Table1[[#This Row],[Tipo de Servicio]],CatPEP!A:A,CatPEP!C:C,"")</f>
        <v/>
      </c>
      <c r="G260" t="str">
        <f>_xlfn.XLOOKUP(Table1[[#This Row],[PEP]],CatPEP!C:C,CatPEP!D:D,"")</f>
        <v/>
      </c>
      <c r="O260" s="53">
        <f>SUMIF('Registro Refacciones'!B:B, I260, 'Registro Refacciones'!I:I)</f>
        <v>0</v>
      </c>
      <c r="P260" s="26">
        <f>Table1[[#This Row],[Costo Servicio]]+Table1[[#This Row],[Refacciones]]</f>
        <v>0</v>
      </c>
      <c r="Q260" s="26"/>
    </row>
    <row r="261" spans="1:17">
      <c r="A261" s="37" t="str">
        <f>IF(Table1[[#This Row],[Tipo de Servicio]]="","",Caratula!$D$15)</f>
        <v/>
      </c>
      <c r="B261" s="37" t="str">
        <f>IF(Table1[[#This Row],[Tipo de Servicio]]="","",Caratula!$D$16)</f>
        <v/>
      </c>
      <c r="C261" s="24" t="str">
        <f>IF(Table1[[#This Row],[Tipo de Servicio]]="","",Caratula!$D$17)</f>
        <v/>
      </c>
      <c r="D261" s="38" t="str">
        <f>IF(ISBLANK(Table1[[#This Row],[Tipo de Servicio]]),"",Caratula!$D$16)</f>
        <v/>
      </c>
      <c r="F261" t="str">
        <f>_xlfn.XLOOKUP(Table1[[#This Row],[SelGZ]]&amp;Table1[[#This Row],[Tipo de Servicio]],CatPEP!A:A,CatPEP!C:C,"")</f>
        <v/>
      </c>
      <c r="G261" t="str">
        <f>_xlfn.XLOOKUP(Table1[[#This Row],[PEP]],CatPEP!C:C,CatPEP!D:D,"")</f>
        <v/>
      </c>
      <c r="O261" s="53">
        <f>SUMIF('Registro Refacciones'!B:B, I261, 'Registro Refacciones'!I:I)</f>
        <v>0</v>
      </c>
      <c r="P261" s="26">
        <f>Table1[[#This Row],[Costo Servicio]]+Table1[[#This Row],[Refacciones]]</f>
        <v>0</v>
      </c>
      <c r="Q261" s="26"/>
    </row>
    <row r="262" spans="1:17">
      <c r="A262" s="37" t="str">
        <f>IF(Table1[[#This Row],[Tipo de Servicio]]="","",Caratula!$D$15)</f>
        <v/>
      </c>
      <c r="B262" s="37" t="str">
        <f>IF(Table1[[#This Row],[Tipo de Servicio]]="","",Caratula!$D$16)</f>
        <v/>
      </c>
      <c r="C262" s="24" t="str">
        <f>IF(Table1[[#This Row],[Tipo de Servicio]]="","",Caratula!$D$17)</f>
        <v/>
      </c>
      <c r="D262" s="38" t="str">
        <f>IF(ISBLANK(Table1[[#This Row],[Tipo de Servicio]]),"",Caratula!$D$16)</f>
        <v/>
      </c>
      <c r="F262" t="str">
        <f>_xlfn.XLOOKUP(Table1[[#This Row],[SelGZ]]&amp;Table1[[#This Row],[Tipo de Servicio]],CatPEP!A:A,CatPEP!C:C,"")</f>
        <v/>
      </c>
      <c r="G262" t="str">
        <f>_xlfn.XLOOKUP(Table1[[#This Row],[PEP]],CatPEP!C:C,CatPEP!D:D,"")</f>
        <v/>
      </c>
      <c r="O262" s="53">
        <f>SUMIF('Registro Refacciones'!B:B, I262, 'Registro Refacciones'!I:I)</f>
        <v>0</v>
      </c>
      <c r="P262" s="26">
        <f>Table1[[#This Row],[Costo Servicio]]+Table1[[#This Row],[Refacciones]]</f>
        <v>0</v>
      </c>
      <c r="Q262" s="26"/>
    </row>
    <row r="263" spans="1:17">
      <c r="A263" s="37" t="str">
        <f>IF(Table1[[#This Row],[Tipo de Servicio]]="","",Caratula!$D$15)</f>
        <v/>
      </c>
      <c r="B263" s="37" t="str">
        <f>IF(Table1[[#This Row],[Tipo de Servicio]]="","",Caratula!$D$16)</f>
        <v/>
      </c>
      <c r="C263" s="24" t="str">
        <f>IF(Table1[[#This Row],[Tipo de Servicio]]="","",Caratula!$D$17)</f>
        <v/>
      </c>
      <c r="D263" s="38" t="str">
        <f>IF(ISBLANK(Table1[[#This Row],[Tipo de Servicio]]),"",Caratula!$D$16)</f>
        <v/>
      </c>
      <c r="F263" t="str">
        <f>_xlfn.XLOOKUP(Table1[[#This Row],[SelGZ]]&amp;Table1[[#This Row],[Tipo de Servicio]],CatPEP!A:A,CatPEP!C:C,"")</f>
        <v/>
      </c>
      <c r="G263" t="str">
        <f>_xlfn.XLOOKUP(Table1[[#This Row],[PEP]],CatPEP!C:C,CatPEP!D:D,"")</f>
        <v/>
      </c>
      <c r="O263" s="53">
        <f>SUMIF('Registro Refacciones'!B:B, I263, 'Registro Refacciones'!I:I)</f>
        <v>0</v>
      </c>
      <c r="P263" s="26">
        <f>Table1[[#This Row],[Costo Servicio]]+Table1[[#This Row],[Refacciones]]</f>
        <v>0</v>
      </c>
      <c r="Q263" s="26"/>
    </row>
    <row r="264" spans="1:17">
      <c r="A264" s="37" t="str">
        <f>IF(Table1[[#This Row],[Tipo de Servicio]]="","",Caratula!$D$15)</f>
        <v/>
      </c>
      <c r="B264" s="37" t="str">
        <f>IF(Table1[[#This Row],[Tipo de Servicio]]="","",Caratula!$D$16)</f>
        <v/>
      </c>
      <c r="C264" s="24" t="str">
        <f>IF(Table1[[#This Row],[Tipo de Servicio]]="","",Caratula!$D$17)</f>
        <v/>
      </c>
      <c r="D264" s="38" t="str">
        <f>IF(ISBLANK(Table1[[#This Row],[Tipo de Servicio]]),"",Caratula!$D$16)</f>
        <v/>
      </c>
      <c r="F264" t="str">
        <f>_xlfn.XLOOKUP(Table1[[#This Row],[SelGZ]]&amp;Table1[[#This Row],[Tipo de Servicio]],CatPEP!A:A,CatPEP!C:C,"")</f>
        <v/>
      </c>
      <c r="G264" t="str">
        <f>_xlfn.XLOOKUP(Table1[[#This Row],[PEP]],CatPEP!C:C,CatPEP!D:D,"")</f>
        <v/>
      </c>
      <c r="O264" s="53">
        <f>SUMIF('Registro Refacciones'!B:B, I264, 'Registro Refacciones'!I:I)</f>
        <v>0</v>
      </c>
      <c r="P264" s="26">
        <f>Table1[[#This Row],[Costo Servicio]]+Table1[[#This Row],[Refacciones]]</f>
        <v>0</v>
      </c>
      <c r="Q264" s="26"/>
    </row>
    <row r="265" spans="1:17">
      <c r="A265" s="37" t="str">
        <f>IF(Table1[[#This Row],[Tipo de Servicio]]="","",Caratula!$D$15)</f>
        <v/>
      </c>
      <c r="B265" s="37" t="str">
        <f>IF(Table1[[#This Row],[Tipo de Servicio]]="","",Caratula!$D$16)</f>
        <v/>
      </c>
      <c r="C265" s="24" t="str">
        <f>IF(Table1[[#This Row],[Tipo de Servicio]]="","",Caratula!$D$17)</f>
        <v/>
      </c>
      <c r="D265" s="38" t="str">
        <f>IF(ISBLANK(Table1[[#This Row],[Tipo de Servicio]]),"",Caratula!$D$16)</f>
        <v/>
      </c>
      <c r="F265" t="str">
        <f>_xlfn.XLOOKUP(Table1[[#This Row],[SelGZ]]&amp;Table1[[#This Row],[Tipo de Servicio]],CatPEP!A:A,CatPEP!C:C,"")</f>
        <v/>
      </c>
      <c r="G265" t="str">
        <f>_xlfn.XLOOKUP(Table1[[#This Row],[PEP]],CatPEP!C:C,CatPEP!D:D,"")</f>
        <v/>
      </c>
      <c r="O265" s="53">
        <f>SUMIF('Registro Refacciones'!B:B, I265, 'Registro Refacciones'!I:I)</f>
        <v>0</v>
      </c>
      <c r="P265" s="26">
        <f>Table1[[#This Row],[Costo Servicio]]+Table1[[#This Row],[Refacciones]]</f>
        <v>0</v>
      </c>
      <c r="Q265" s="26"/>
    </row>
    <row r="266" spans="1:17">
      <c r="A266" s="37" t="str">
        <f>IF(Table1[[#This Row],[Tipo de Servicio]]="","",Caratula!$D$15)</f>
        <v/>
      </c>
      <c r="B266" s="37" t="str">
        <f>IF(Table1[[#This Row],[Tipo de Servicio]]="","",Caratula!$D$16)</f>
        <v/>
      </c>
      <c r="C266" s="24" t="str">
        <f>IF(Table1[[#This Row],[Tipo de Servicio]]="","",Caratula!$D$17)</f>
        <v/>
      </c>
      <c r="D266" s="38" t="str">
        <f>IF(ISBLANK(Table1[[#This Row],[Tipo de Servicio]]),"",Caratula!$D$16)</f>
        <v/>
      </c>
      <c r="F266" t="str">
        <f>_xlfn.XLOOKUP(Table1[[#This Row],[SelGZ]]&amp;Table1[[#This Row],[Tipo de Servicio]],CatPEP!A:A,CatPEP!C:C,"")</f>
        <v/>
      </c>
      <c r="G266" t="str">
        <f>_xlfn.XLOOKUP(Table1[[#This Row],[PEP]],CatPEP!C:C,CatPEP!D:D,"")</f>
        <v/>
      </c>
      <c r="O266" s="53">
        <f>SUMIF('Registro Refacciones'!B:B, I266, 'Registro Refacciones'!I:I)</f>
        <v>0</v>
      </c>
      <c r="P266" s="26">
        <f>Table1[[#This Row],[Costo Servicio]]+Table1[[#This Row],[Refacciones]]</f>
        <v>0</v>
      </c>
      <c r="Q266" s="26"/>
    </row>
    <row r="267" spans="1:17">
      <c r="A267" s="37" t="str">
        <f>IF(Table1[[#This Row],[Tipo de Servicio]]="","",Caratula!$D$15)</f>
        <v/>
      </c>
      <c r="B267" s="37" t="str">
        <f>IF(Table1[[#This Row],[Tipo de Servicio]]="","",Caratula!$D$16)</f>
        <v/>
      </c>
      <c r="C267" s="24" t="str">
        <f>IF(Table1[[#This Row],[Tipo de Servicio]]="","",Caratula!$D$17)</f>
        <v/>
      </c>
      <c r="D267" s="38" t="str">
        <f>IF(ISBLANK(Table1[[#This Row],[Tipo de Servicio]]),"",Caratula!$D$16)</f>
        <v/>
      </c>
      <c r="F267" t="str">
        <f>_xlfn.XLOOKUP(Table1[[#This Row],[SelGZ]]&amp;Table1[[#This Row],[Tipo de Servicio]],CatPEP!A:A,CatPEP!C:C,"")</f>
        <v/>
      </c>
      <c r="G267" t="str">
        <f>_xlfn.XLOOKUP(Table1[[#This Row],[PEP]],CatPEP!C:C,CatPEP!D:D,"")</f>
        <v/>
      </c>
      <c r="O267" s="53">
        <f>SUMIF('Registro Refacciones'!B:B, I267, 'Registro Refacciones'!I:I)</f>
        <v>0</v>
      </c>
      <c r="P267" s="26">
        <f>Table1[[#This Row],[Costo Servicio]]+Table1[[#This Row],[Refacciones]]</f>
        <v>0</v>
      </c>
      <c r="Q267" s="26"/>
    </row>
    <row r="268" spans="1:17">
      <c r="A268" s="37" t="str">
        <f>IF(Table1[[#This Row],[Tipo de Servicio]]="","",Caratula!$D$15)</f>
        <v/>
      </c>
      <c r="B268" s="37" t="str">
        <f>IF(Table1[[#This Row],[Tipo de Servicio]]="","",Caratula!$D$16)</f>
        <v/>
      </c>
      <c r="C268" s="24" t="str">
        <f>IF(Table1[[#This Row],[Tipo de Servicio]]="","",Caratula!$D$17)</f>
        <v/>
      </c>
      <c r="D268" s="38" t="str">
        <f>IF(ISBLANK(Table1[[#This Row],[Tipo de Servicio]]),"",Caratula!$D$16)</f>
        <v/>
      </c>
      <c r="F268" t="str">
        <f>_xlfn.XLOOKUP(Table1[[#This Row],[SelGZ]]&amp;Table1[[#This Row],[Tipo de Servicio]],CatPEP!A:A,CatPEP!C:C,"")</f>
        <v/>
      </c>
      <c r="G268" t="str">
        <f>_xlfn.XLOOKUP(Table1[[#This Row],[PEP]],CatPEP!C:C,CatPEP!D:D,"")</f>
        <v/>
      </c>
      <c r="O268" s="53">
        <f>SUMIF('Registro Refacciones'!B:B, I268, 'Registro Refacciones'!I:I)</f>
        <v>0</v>
      </c>
      <c r="P268" s="26">
        <f>Table1[[#This Row],[Costo Servicio]]+Table1[[#This Row],[Refacciones]]</f>
        <v>0</v>
      </c>
      <c r="Q268" s="26"/>
    </row>
    <row r="269" spans="1:17">
      <c r="A269" s="37" t="str">
        <f>IF(Table1[[#This Row],[Tipo de Servicio]]="","",Caratula!$D$15)</f>
        <v/>
      </c>
      <c r="B269" s="37" t="str">
        <f>IF(Table1[[#This Row],[Tipo de Servicio]]="","",Caratula!$D$16)</f>
        <v/>
      </c>
      <c r="C269" s="24" t="str">
        <f>IF(Table1[[#This Row],[Tipo de Servicio]]="","",Caratula!$D$17)</f>
        <v/>
      </c>
      <c r="D269" s="38" t="str">
        <f>IF(ISBLANK(Table1[[#This Row],[Tipo de Servicio]]),"",Caratula!$D$16)</f>
        <v/>
      </c>
      <c r="F269" t="str">
        <f>_xlfn.XLOOKUP(Table1[[#This Row],[SelGZ]]&amp;Table1[[#This Row],[Tipo de Servicio]],CatPEP!A:A,CatPEP!C:C,"")</f>
        <v/>
      </c>
      <c r="G269" t="str">
        <f>_xlfn.XLOOKUP(Table1[[#This Row],[PEP]],CatPEP!C:C,CatPEP!D:D,"")</f>
        <v/>
      </c>
      <c r="O269" s="53">
        <f>SUMIF('Registro Refacciones'!B:B, I269, 'Registro Refacciones'!I:I)</f>
        <v>0</v>
      </c>
      <c r="P269" s="26">
        <f>Table1[[#This Row],[Costo Servicio]]+Table1[[#This Row],[Refacciones]]</f>
        <v>0</v>
      </c>
      <c r="Q269" s="26"/>
    </row>
    <row r="270" spans="1:17">
      <c r="A270" s="37" t="str">
        <f>IF(Table1[[#This Row],[Tipo de Servicio]]="","",Caratula!$D$15)</f>
        <v/>
      </c>
      <c r="B270" s="37" t="str">
        <f>IF(Table1[[#This Row],[Tipo de Servicio]]="","",Caratula!$D$16)</f>
        <v/>
      </c>
      <c r="C270" s="24" t="str">
        <f>IF(Table1[[#This Row],[Tipo de Servicio]]="","",Caratula!$D$17)</f>
        <v/>
      </c>
      <c r="D270" s="38" t="str">
        <f>IF(ISBLANK(Table1[[#This Row],[Tipo de Servicio]]),"",Caratula!$D$16)</f>
        <v/>
      </c>
      <c r="F270" t="str">
        <f>_xlfn.XLOOKUP(Table1[[#This Row],[SelGZ]]&amp;Table1[[#This Row],[Tipo de Servicio]],CatPEP!A:A,CatPEP!C:C,"")</f>
        <v/>
      </c>
      <c r="G270" t="str">
        <f>_xlfn.XLOOKUP(Table1[[#This Row],[PEP]],CatPEP!C:C,CatPEP!D:D,"")</f>
        <v/>
      </c>
      <c r="O270" s="53">
        <f>SUMIF('Registro Refacciones'!B:B, I270, 'Registro Refacciones'!I:I)</f>
        <v>0</v>
      </c>
      <c r="P270" s="26">
        <f>Table1[[#This Row],[Costo Servicio]]+Table1[[#This Row],[Refacciones]]</f>
        <v>0</v>
      </c>
      <c r="Q270" s="26"/>
    </row>
    <row r="271" spans="1:17">
      <c r="A271" s="37" t="str">
        <f>IF(Table1[[#This Row],[Tipo de Servicio]]="","",Caratula!$D$15)</f>
        <v/>
      </c>
      <c r="B271" s="37" t="str">
        <f>IF(Table1[[#This Row],[Tipo de Servicio]]="","",Caratula!$D$16)</f>
        <v/>
      </c>
      <c r="C271" s="24" t="str">
        <f>IF(Table1[[#This Row],[Tipo de Servicio]]="","",Caratula!$D$17)</f>
        <v/>
      </c>
      <c r="D271" s="38" t="str">
        <f>IF(ISBLANK(Table1[[#This Row],[Tipo de Servicio]]),"",Caratula!$D$16)</f>
        <v/>
      </c>
      <c r="F271" t="str">
        <f>_xlfn.XLOOKUP(Table1[[#This Row],[SelGZ]]&amp;Table1[[#This Row],[Tipo de Servicio]],CatPEP!A:A,CatPEP!C:C,"")</f>
        <v/>
      </c>
      <c r="G271" t="str">
        <f>_xlfn.XLOOKUP(Table1[[#This Row],[PEP]],CatPEP!C:C,CatPEP!D:D,"")</f>
        <v/>
      </c>
      <c r="O271" s="53">
        <f>SUMIF('Registro Refacciones'!B:B, I271, 'Registro Refacciones'!I:I)</f>
        <v>0</v>
      </c>
      <c r="P271" s="26">
        <f>Table1[[#This Row],[Costo Servicio]]+Table1[[#This Row],[Refacciones]]</f>
        <v>0</v>
      </c>
      <c r="Q271" s="26"/>
    </row>
    <row r="272" spans="1:17">
      <c r="A272" s="37" t="str">
        <f>IF(Table1[[#This Row],[Tipo de Servicio]]="","",Caratula!$D$15)</f>
        <v/>
      </c>
      <c r="B272" s="37" t="str">
        <f>IF(Table1[[#This Row],[Tipo de Servicio]]="","",Caratula!$D$16)</f>
        <v/>
      </c>
      <c r="C272" s="24" t="str">
        <f>IF(Table1[[#This Row],[Tipo de Servicio]]="","",Caratula!$D$17)</f>
        <v/>
      </c>
      <c r="D272" s="38" t="str">
        <f>IF(ISBLANK(Table1[[#This Row],[Tipo de Servicio]]),"",Caratula!$D$16)</f>
        <v/>
      </c>
      <c r="F272" t="str">
        <f>_xlfn.XLOOKUP(Table1[[#This Row],[SelGZ]]&amp;Table1[[#This Row],[Tipo de Servicio]],CatPEP!A:A,CatPEP!C:C,"")</f>
        <v/>
      </c>
      <c r="G272" t="str">
        <f>_xlfn.XLOOKUP(Table1[[#This Row],[PEP]],CatPEP!C:C,CatPEP!D:D,"")</f>
        <v/>
      </c>
      <c r="O272" s="53">
        <f>SUMIF('Registro Refacciones'!B:B, I272, 'Registro Refacciones'!I:I)</f>
        <v>0</v>
      </c>
      <c r="P272" s="26">
        <f>Table1[[#This Row],[Costo Servicio]]+Table1[[#This Row],[Refacciones]]</f>
        <v>0</v>
      </c>
      <c r="Q272" s="26"/>
    </row>
    <row r="273" spans="1:17">
      <c r="A273" s="37" t="str">
        <f>IF(Table1[[#This Row],[Tipo de Servicio]]="","",Caratula!$D$15)</f>
        <v/>
      </c>
      <c r="B273" s="37" t="str">
        <f>IF(Table1[[#This Row],[Tipo de Servicio]]="","",Caratula!$D$16)</f>
        <v/>
      </c>
      <c r="C273" s="24" t="str">
        <f>IF(Table1[[#This Row],[Tipo de Servicio]]="","",Caratula!$D$17)</f>
        <v/>
      </c>
      <c r="D273" s="38" t="str">
        <f>IF(ISBLANK(Table1[[#This Row],[Tipo de Servicio]]),"",Caratula!$D$16)</f>
        <v/>
      </c>
      <c r="F273" t="str">
        <f>_xlfn.XLOOKUP(Table1[[#This Row],[SelGZ]]&amp;Table1[[#This Row],[Tipo de Servicio]],CatPEP!A:A,CatPEP!C:C,"")</f>
        <v/>
      </c>
      <c r="G273" t="str">
        <f>_xlfn.XLOOKUP(Table1[[#This Row],[PEP]],CatPEP!C:C,CatPEP!D:D,"")</f>
        <v/>
      </c>
      <c r="O273" s="53">
        <f>SUMIF('Registro Refacciones'!B:B, I273, 'Registro Refacciones'!I:I)</f>
        <v>0</v>
      </c>
      <c r="P273" s="26">
        <f>Table1[[#This Row],[Costo Servicio]]+Table1[[#This Row],[Refacciones]]</f>
        <v>0</v>
      </c>
      <c r="Q273" s="26"/>
    </row>
    <row r="274" spans="1:17">
      <c r="A274" s="37" t="str">
        <f>IF(Table1[[#This Row],[Tipo de Servicio]]="","",Caratula!$D$15)</f>
        <v/>
      </c>
      <c r="B274" s="37" t="str">
        <f>IF(Table1[[#This Row],[Tipo de Servicio]]="","",Caratula!$D$16)</f>
        <v/>
      </c>
      <c r="C274" s="24" t="str">
        <f>IF(Table1[[#This Row],[Tipo de Servicio]]="","",Caratula!$D$17)</f>
        <v/>
      </c>
      <c r="D274" s="38" t="str">
        <f>IF(ISBLANK(Table1[[#This Row],[Tipo de Servicio]]),"",Caratula!$D$16)</f>
        <v/>
      </c>
      <c r="F274" t="str">
        <f>_xlfn.XLOOKUP(Table1[[#This Row],[SelGZ]]&amp;Table1[[#This Row],[Tipo de Servicio]],CatPEP!A:A,CatPEP!C:C,"")</f>
        <v/>
      </c>
      <c r="G274" t="str">
        <f>_xlfn.XLOOKUP(Table1[[#This Row],[PEP]],CatPEP!C:C,CatPEP!D:D,"")</f>
        <v/>
      </c>
      <c r="O274" s="53">
        <f>SUMIF('Registro Refacciones'!B:B, I274, 'Registro Refacciones'!I:I)</f>
        <v>0</v>
      </c>
      <c r="P274" s="26">
        <f>Table1[[#This Row],[Costo Servicio]]+Table1[[#This Row],[Refacciones]]</f>
        <v>0</v>
      </c>
      <c r="Q274" s="26"/>
    </row>
    <row r="275" spans="1:17">
      <c r="A275" s="37" t="str">
        <f>IF(Table1[[#This Row],[Tipo de Servicio]]="","",Caratula!$D$15)</f>
        <v/>
      </c>
      <c r="B275" s="37" t="str">
        <f>IF(Table1[[#This Row],[Tipo de Servicio]]="","",Caratula!$D$16)</f>
        <v/>
      </c>
      <c r="C275" s="24" t="str">
        <f>IF(Table1[[#This Row],[Tipo de Servicio]]="","",Caratula!$D$17)</f>
        <v/>
      </c>
      <c r="D275" s="38" t="str">
        <f>IF(ISBLANK(Table1[[#This Row],[Tipo de Servicio]]),"",Caratula!$D$16)</f>
        <v/>
      </c>
      <c r="F275" t="str">
        <f>_xlfn.XLOOKUP(Table1[[#This Row],[SelGZ]]&amp;Table1[[#This Row],[Tipo de Servicio]],CatPEP!A:A,CatPEP!C:C,"")</f>
        <v/>
      </c>
      <c r="G275" t="str">
        <f>_xlfn.XLOOKUP(Table1[[#This Row],[PEP]],CatPEP!C:C,CatPEP!D:D,"")</f>
        <v/>
      </c>
      <c r="O275" s="53">
        <f>SUMIF('Registro Refacciones'!B:B, I275, 'Registro Refacciones'!I:I)</f>
        <v>0</v>
      </c>
      <c r="P275" s="26">
        <f>Table1[[#This Row],[Costo Servicio]]+Table1[[#This Row],[Refacciones]]</f>
        <v>0</v>
      </c>
      <c r="Q275" s="26"/>
    </row>
    <row r="276" spans="1:17">
      <c r="A276" s="37" t="str">
        <f>IF(Table1[[#This Row],[Tipo de Servicio]]="","",Caratula!$D$15)</f>
        <v/>
      </c>
      <c r="B276" s="37" t="str">
        <f>IF(Table1[[#This Row],[Tipo de Servicio]]="","",Caratula!$D$16)</f>
        <v/>
      </c>
      <c r="C276" s="24" t="str">
        <f>IF(Table1[[#This Row],[Tipo de Servicio]]="","",Caratula!$D$17)</f>
        <v/>
      </c>
      <c r="D276" s="38" t="str">
        <f>IF(ISBLANK(Table1[[#This Row],[Tipo de Servicio]]),"",Caratula!$D$16)</f>
        <v/>
      </c>
      <c r="F276" t="str">
        <f>_xlfn.XLOOKUP(Table1[[#This Row],[SelGZ]]&amp;Table1[[#This Row],[Tipo de Servicio]],CatPEP!A:A,CatPEP!C:C,"")</f>
        <v/>
      </c>
      <c r="G276" t="str">
        <f>_xlfn.XLOOKUP(Table1[[#This Row],[PEP]],CatPEP!C:C,CatPEP!D:D,"")</f>
        <v/>
      </c>
      <c r="O276" s="53">
        <f>SUMIF('Registro Refacciones'!B:B, I276, 'Registro Refacciones'!I:I)</f>
        <v>0</v>
      </c>
      <c r="P276" s="26">
        <f>Table1[[#This Row],[Costo Servicio]]+Table1[[#This Row],[Refacciones]]</f>
        <v>0</v>
      </c>
      <c r="Q276" s="26"/>
    </row>
    <row r="277" spans="1:17">
      <c r="A277" s="37" t="str">
        <f>IF(Table1[[#This Row],[Tipo de Servicio]]="","",Caratula!$D$15)</f>
        <v/>
      </c>
      <c r="B277" s="37" t="str">
        <f>IF(Table1[[#This Row],[Tipo de Servicio]]="","",Caratula!$D$16)</f>
        <v/>
      </c>
      <c r="C277" s="24" t="str">
        <f>IF(Table1[[#This Row],[Tipo de Servicio]]="","",Caratula!$D$17)</f>
        <v/>
      </c>
      <c r="D277" s="38" t="str">
        <f>IF(ISBLANK(Table1[[#This Row],[Tipo de Servicio]]),"",Caratula!$D$16)</f>
        <v/>
      </c>
      <c r="F277" t="str">
        <f>_xlfn.XLOOKUP(Table1[[#This Row],[SelGZ]]&amp;Table1[[#This Row],[Tipo de Servicio]],CatPEP!A:A,CatPEP!C:C,"")</f>
        <v/>
      </c>
      <c r="G277" t="str">
        <f>_xlfn.XLOOKUP(Table1[[#This Row],[PEP]],CatPEP!C:C,CatPEP!D:D,"")</f>
        <v/>
      </c>
      <c r="O277" s="53">
        <f>SUMIF('Registro Refacciones'!B:B, I277, 'Registro Refacciones'!I:I)</f>
        <v>0</v>
      </c>
      <c r="P277" s="26">
        <f>Table1[[#This Row],[Costo Servicio]]+Table1[[#This Row],[Refacciones]]</f>
        <v>0</v>
      </c>
      <c r="Q277" s="26"/>
    </row>
    <row r="278" spans="1:17">
      <c r="A278" s="37" t="str">
        <f>IF(Table1[[#This Row],[Tipo de Servicio]]="","",Caratula!$D$15)</f>
        <v/>
      </c>
      <c r="B278" s="37" t="str">
        <f>IF(Table1[[#This Row],[Tipo de Servicio]]="","",Caratula!$D$16)</f>
        <v/>
      </c>
      <c r="C278" s="24" t="str">
        <f>IF(Table1[[#This Row],[Tipo de Servicio]]="","",Caratula!$D$17)</f>
        <v/>
      </c>
      <c r="D278" s="38" t="str">
        <f>IF(ISBLANK(Table1[[#This Row],[Tipo de Servicio]]),"",Caratula!$D$16)</f>
        <v/>
      </c>
      <c r="F278" t="str">
        <f>_xlfn.XLOOKUP(Table1[[#This Row],[SelGZ]]&amp;Table1[[#This Row],[Tipo de Servicio]],CatPEP!A:A,CatPEP!C:C,"")</f>
        <v/>
      </c>
      <c r="G278" t="str">
        <f>_xlfn.XLOOKUP(Table1[[#This Row],[PEP]],CatPEP!C:C,CatPEP!D:D,"")</f>
        <v/>
      </c>
      <c r="O278" s="53">
        <f>SUMIF('Registro Refacciones'!B:B, I278, 'Registro Refacciones'!I:I)</f>
        <v>0</v>
      </c>
      <c r="P278" s="26">
        <f>Table1[[#This Row],[Costo Servicio]]+Table1[[#This Row],[Refacciones]]</f>
        <v>0</v>
      </c>
      <c r="Q278" s="26"/>
    </row>
    <row r="279" spans="1:17">
      <c r="A279" s="37" t="str">
        <f>IF(Table1[[#This Row],[Tipo de Servicio]]="","",Caratula!$D$15)</f>
        <v/>
      </c>
      <c r="B279" s="37" t="str">
        <f>IF(Table1[[#This Row],[Tipo de Servicio]]="","",Caratula!$D$16)</f>
        <v/>
      </c>
      <c r="C279" s="24" t="str">
        <f>IF(Table1[[#This Row],[Tipo de Servicio]]="","",Caratula!$D$17)</f>
        <v/>
      </c>
      <c r="D279" s="38" t="str">
        <f>IF(ISBLANK(Table1[[#This Row],[Tipo de Servicio]]),"",Caratula!$D$16)</f>
        <v/>
      </c>
      <c r="F279" t="str">
        <f>_xlfn.XLOOKUP(Table1[[#This Row],[SelGZ]]&amp;Table1[[#This Row],[Tipo de Servicio]],CatPEP!A:A,CatPEP!C:C,"")</f>
        <v/>
      </c>
      <c r="G279" t="str">
        <f>_xlfn.XLOOKUP(Table1[[#This Row],[PEP]],CatPEP!C:C,CatPEP!D:D,"")</f>
        <v/>
      </c>
      <c r="O279" s="53">
        <f>SUMIF('Registro Refacciones'!B:B, I279, 'Registro Refacciones'!I:I)</f>
        <v>0</v>
      </c>
      <c r="P279" s="26">
        <f>Table1[[#This Row],[Costo Servicio]]+Table1[[#This Row],[Refacciones]]</f>
        <v>0</v>
      </c>
      <c r="Q279" s="26"/>
    </row>
    <row r="280" spans="1:17">
      <c r="A280" s="37" t="str">
        <f>IF(Table1[[#This Row],[Tipo de Servicio]]="","",Caratula!$D$15)</f>
        <v/>
      </c>
      <c r="B280" s="37" t="str">
        <f>IF(Table1[[#This Row],[Tipo de Servicio]]="","",Caratula!$D$16)</f>
        <v/>
      </c>
      <c r="C280" s="24" t="str">
        <f>IF(Table1[[#This Row],[Tipo de Servicio]]="","",Caratula!$D$17)</f>
        <v/>
      </c>
      <c r="D280" s="38" t="str">
        <f>IF(ISBLANK(Table1[[#This Row],[Tipo de Servicio]]),"",Caratula!$D$16)</f>
        <v/>
      </c>
      <c r="F280" t="str">
        <f>_xlfn.XLOOKUP(Table1[[#This Row],[SelGZ]]&amp;Table1[[#This Row],[Tipo de Servicio]],CatPEP!A:A,CatPEP!C:C,"")</f>
        <v/>
      </c>
      <c r="G280" t="str">
        <f>_xlfn.XLOOKUP(Table1[[#This Row],[PEP]],CatPEP!C:C,CatPEP!D:D,"")</f>
        <v/>
      </c>
      <c r="O280" s="53">
        <f>SUMIF('Registro Refacciones'!B:B, I280, 'Registro Refacciones'!I:I)</f>
        <v>0</v>
      </c>
      <c r="P280" s="26">
        <f>Table1[[#This Row],[Costo Servicio]]+Table1[[#This Row],[Refacciones]]</f>
        <v>0</v>
      </c>
      <c r="Q280" s="26"/>
    </row>
    <row r="281" spans="1:17">
      <c r="A281" s="37" t="str">
        <f>IF(Table1[[#This Row],[Tipo de Servicio]]="","",Caratula!$D$15)</f>
        <v/>
      </c>
      <c r="B281" s="37" t="str">
        <f>IF(Table1[[#This Row],[Tipo de Servicio]]="","",Caratula!$D$16)</f>
        <v/>
      </c>
      <c r="C281" s="24" t="str">
        <f>IF(Table1[[#This Row],[Tipo de Servicio]]="","",Caratula!$D$17)</f>
        <v/>
      </c>
      <c r="D281" s="38" t="str">
        <f>IF(ISBLANK(Table1[[#This Row],[Tipo de Servicio]]),"",Caratula!$D$16)</f>
        <v/>
      </c>
      <c r="F281" t="str">
        <f>_xlfn.XLOOKUP(Table1[[#This Row],[SelGZ]]&amp;Table1[[#This Row],[Tipo de Servicio]],CatPEP!A:A,CatPEP!C:C,"")</f>
        <v/>
      </c>
      <c r="G281" t="str">
        <f>_xlfn.XLOOKUP(Table1[[#This Row],[PEP]],CatPEP!C:C,CatPEP!D:D,"")</f>
        <v/>
      </c>
      <c r="O281" s="53">
        <f>SUMIF('Registro Refacciones'!B:B, I281, 'Registro Refacciones'!I:I)</f>
        <v>0</v>
      </c>
      <c r="P281" s="26">
        <f>Table1[[#This Row],[Costo Servicio]]+Table1[[#This Row],[Refacciones]]</f>
        <v>0</v>
      </c>
      <c r="Q281" s="26"/>
    </row>
    <row r="282" spans="1:17">
      <c r="A282" s="37" t="str">
        <f>IF(Table1[[#This Row],[Tipo de Servicio]]="","",Caratula!$D$15)</f>
        <v/>
      </c>
      <c r="B282" s="37" t="str">
        <f>IF(Table1[[#This Row],[Tipo de Servicio]]="","",Caratula!$D$16)</f>
        <v/>
      </c>
      <c r="C282" s="24" t="str">
        <f>IF(Table1[[#This Row],[Tipo de Servicio]]="","",Caratula!$D$17)</f>
        <v/>
      </c>
      <c r="D282" s="38" t="str">
        <f>IF(ISBLANK(Table1[[#This Row],[Tipo de Servicio]]),"",Caratula!$D$16)</f>
        <v/>
      </c>
      <c r="F282" t="str">
        <f>_xlfn.XLOOKUP(Table1[[#This Row],[SelGZ]]&amp;Table1[[#This Row],[Tipo de Servicio]],CatPEP!A:A,CatPEP!C:C,"")</f>
        <v/>
      </c>
      <c r="G282" t="str">
        <f>_xlfn.XLOOKUP(Table1[[#This Row],[PEP]],CatPEP!C:C,CatPEP!D:D,"")</f>
        <v/>
      </c>
      <c r="O282" s="53">
        <f>SUMIF('Registro Refacciones'!B:B, I282, 'Registro Refacciones'!I:I)</f>
        <v>0</v>
      </c>
      <c r="P282" s="26">
        <f>Table1[[#This Row],[Costo Servicio]]+Table1[[#This Row],[Refacciones]]</f>
        <v>0</v>
      </c>
      <c r="Q282" s="26"/>
    </row>
    <row r="283" spans="1:17">
      <c r="A283" s="37" t="str">
        <f>IF(Table1[[#This Row],[Tipo de Servicio]]="","",Caratula!$D$15)</f>
        <v/>
      </c>
      <c r="B283" s="37" t="str">
        <f>IF(Table1[[#This Row],[Tipo de Servicio]]="","",Caratula!$D$16)</f>
        <v/>
      </c>
      <c r="C283" s="24" t="str">
        <f>IF(Table1[[#This Row],[Tipo de Servicio]]="","",Caratula!$D$17)</f>
        <v/>
      </c>
      <c r="D283" s="38" t="str">
        <f>IF(ISBLANK(Table1[[#This Row],[Tipo de Servicio]]),"",Caratula!$D$16)</f>
        <v/>
      </c>
      <c r="F283" t="str">
        <f>_xlfn.XLOOKUP(Table1[[#This Row],[SelGZ]]&amp;Table1[[#This Row],[Tipo de Servicio]],CatPEP!A:A,CatPEP!C:C,"")</f>
        <v/>
      </c>
      <c r="G283" t="str">
        <f>_xlfn.XLOOKUP(Table1[[#This Row],[PEP]],CatPEP!C:C,CatPEP!D:D,"")</f>
        <v/>
      </c>
      <c r="O283" s="53">
        <f>SUMIF('Registro Refacciones'!B:B, I283, 'Registro Refacciones'!I:I)</f>
        <v>0</v>
      </c>
      <c r="P283" s="26">
        <f>Table1[[#This Row],[Costo Servicio]]+Table1[[#This Row],[Refacciones]]</f>
        <v>0</v>
      </c>
      <c r="Q283" s="26"/>
    </row>
    <row r="284" spans="1:17">
      <c r="A284" s="37" t="str">
        <f>IF(Table1[[#This Row],[Tipo de Servicio]]="","",Caratula!$D$15)</f>
        <v/>
      </c>
      <c r="B284" s="37" t="str">
        <f>IF(Table1[[#This Row],[Tipo de Servicio]]="","",Caratula!$D$16)</f>
        <v/>
      </c>
      <c r="C284" s="24" t="str">
        <f>IF(Table1[[#This Row],[Tipo de Servicio]]="","",Caratula!$D$17)</f>
        <v/>
      </c>
      <c r="D284" s="38" t="str">
        <f>IF(ISBLANK(Table1[[#This Row],[Tipo de Servicio]]),"",Caratula!$D$16)</f>
        <v/>
      </c>
      <c r="F284" t="str">
        <f>_xlfn.XLOOKUP(Table1[[#This Row],[SelGZ]]&amp;Table1[[#This Row],[Tipo de Servicio]],CatPEP!A:A,CatPEP!C:C,"")</f>
        <v/>
      </c>
      <c r="G284" t="str">
        <f>_xlfn.XLOOKUP(Table1[[#This Row],[PEP]],CatPEP!C:C,CatPEP!D:D,"")</f>
        <v/>
      </c>
      <c r="O284" s="53">
        <f>SUMIF('Registro Refacciones'!B:B, I284, 'Registro Refacciones'!I:I)</f>
        <v>0</v>
      </c>
      <c r="P284" s="26">
        <f>Table1[[#This Row],[Costo Servicio]]+Table1[[#This Row],[Refacciones]]</f>
        <v>0</v>
      </c>
      <c r="Q284" s="26"/>
    </row>
    <row r="285" spans="1:17">
      <c r="A285" s="37" t="str">
        <f>IF(Table1[[#This Row],[Tipo de Servicio]]="","",Caratula!$D$15)</f>
        <v/>
      </c>
      <c r="B285" s="37" t="str">
        <f>IF(Table1[[#This Row],[Tipo de Servicio]]="","",Caratula!$D$16)</f>
        <v/>
      </c>
      <c r="C285" s="24" t="str">
        <f>IF(Table1[[#This Row],[Tipo de Servicio]]="","",Caratula!$D$17)</f>
        <v/>
      </c>
      <c r="D285" s="38" t="str">
        <f>IF(ISBLANK(Table1[[#This Row],[Tipo de Servicio]]),"",Caratula!$D$16)</f>
        <v/>
      </c>
      <c r="F285" t="str">
        <f>_xlfn.XLOOKUP(Table1[[#This Row],[SelGZ]]&amp;Table1[[#This Row],[Tipo de Servicio]],CatPEP!A:A,CatPEP!C:C,"")</f>
        <v/>
      </c>
      <c r="G285" t="str">
        <f>_xlfn.XLOOKUP(Table1[[#This Row],[PEP]],CatPEP!C:C,CatPEP!D:D,"")</f>
        <v/>
      </c>
      <c r="O285" s="53">
        <f>SUMIF('Registro Refacciones'!B:B, I285, 'Registro Refacciones'!I:I)</f>
        <v>0</v>
      </c>
      <c r="P285" s="26">
        <f>Table1[[#This Row],[Costo Servicio]]+Table1[[#This Row],[Refacciones]]</f>
        <v>0</v>
      </c>
      <c r="Q285" s="26"/>
    </row>
    <row r="286" spans="1:17">
      <c r="A286" s="37" t="str">
        <f>IF(Table1[[#This Row],[Tipo de Servicio]]="","",Caratula!$D$15)</f>
        <v/>
      </c>
      <c r="B286" s="37" t="str">
        <f>IF(Table1[[#This Row],[Tipo de Servicio]]="","",Caratula!$D$16)</f>
        <v/>
      </c>
      <c r="C286" s="24" t="str">
        <f>IF(Table1[[#This Row],[Tipo de Servicio]]="","",Caratula!$D$17)</f>
        <v/>
      </c>
      <c r="D286" s="38" t="str">
        <f>IF(ISBLANK(Table1[[#This Row],[Tipo de Servicio]]),"",Caratula!$D$16)</f>
        <v/>
      </c>
      <c r="F286" t="str">
        <f>_xlfn.XLOOKUP(Table1[[#This Row],[SelGZ]]&amp;Table1[[#This Row],[Tipo de Servicio]],CatPEP!A:A,CatPEP!C:C,"")</f>
        <v/>
      </c>
      <c r="G286" t="str">
        <f>_xlfn.XLOOKUP(Table1[[#This Row],[PEP]],CatPEP!C:C,CatPEP!D:D,"")</f>
        <v/>
      </c>
      <c r="O286" s="53">
        <f>SUMIF('Registro Refacciones'!B:B, I286, 'Registro Refacciones'!I:I)</f>
        <v>0</v>
      </c>
      <c r="P286" s="26">
        <f>Table1[[#This Row],[Costo Servicio]]+Table1[[#This Row],[Refacciones]]</f>
        <v>0</v>
      </c>
      <c r="Q286" s="26"/>
    </row>
    <row r="287" spans="1:17">
      <c r="A287" s="37" t="str">
        <f>IF(Table1[[#This Row],[Tipo de Servicio]]="","",Caratula!$D$15)</f>
        <v/>
      </c>
      <c r="B287" s="37" t="str">
        <f>IF(Table1[[#This Row],[Tipo de Servicio]]="","",Caratula!$D$16)</f>
        <v/>
      </c>
      <c r="C287" s="24" t="str">
        <f>IF(Table1[[#This Row],[Tipo de Servicio]]="","",Caratula!$D$17)</f>
        <v/>
      </c>
      <c r="D287" s="38" t="str">
        <f>IF(ISBLANK(Table1[[#This Row],[Tipo de Servicio]]),"",Caratula!$D$16)</f>
        <v/>
      </c>
      <c r="F287" t="str">
        <f>_xlfn.XLOOKUP(Table1[[#This Row],[SelGZ]]&amp;Table1[[#This Row],[Tipo de Servicio]],CatPEP!A:A,CatPEP!C:C,"")</f>
        <v/>
      </c>
      <c r="G287" t="str">
        <f>_xlfn.XLOOKUP(Table1[[#This Row],[PEP]],CatPEP!C:C,CatPEP!D:D,"")</f>
        <v/>
      </c>
      <c r="O287" s="53">
        <f>SUMIF('Registro Refacciones'!B:B, I287, 'Registro Refacciones'!I:I)</f>
        <v>0</v>
      </c>
      <c r="P287" s="26">
        <f>Table1[[#This Row],[Costo Servicio]]+Table1[[#This Row],[Refacciones]]</f>
        <v>0</v>
      </c>
      <c r="Q287" s="26"/>
    </row>
    <row r="288" spans="1:17">
      <c r="A288" s="37" t="str">
        <f>IF(Table1[[#This Row],[Tipo de Servicio]]="","",Caratula!$D$15)</f>
        <v/>
      </c>
      <c r="B288" s="37" t="str">
        <f>IF(Table1[[#This Row],[Tipo de Servicio]]="","",Caratula!$D$16)</f>
        <v/>
      </c>
      <c r="C288" s="24" t="str">
        <f>IF(Table1[[#This Row],[Tipo de Servicio]]="","",Caratula!$D$17)</f>
        <v/>
      </c>
      <c r="D288" s="38" t="str">
        <f>IF(ISBLANK(Table1[[#This Row],[Tipo de Servicio]]),"",Caratula!$D$16)</f>
        <v/>
      </c>
      <c r="F288" t="str">
        <f>_xlfn.XLOOKUP(Table1[[#This Row],[SelGZ]]&amp;Table1[[#This Row],[Tipo de Servicio]],CatPEP!A:A,CatPEP!C:C,"")</f>
        <v/>
      </c>
      <c r="G288" t="str">
        <f>_xlfn.XLOOKUP(Table1[[#This Row],[PEP]],CatPEP!C:C,CatPEP!D:D,"")</f>
        <v/>
      </c>
      <c r="O288" s="53">
        <f>SUMIF('Registro Refacciones'!B:B, I288, 'Registro Refacciones'!I:I)</f>
        <v>0</v>
      </c>
      <c r="P288" s="26">
        <f>Table1[[#This Row],[Costo Servicio]]+Table1[[#This Row],[Refacciones]]</f>
        <v>0</v>
      </c>
      <c r="Q288" s="26"/>
    </row>
    <row r="289" spans="1:17">
      <c r="A289" s="37" t="str">
        <f>IF(Table1[[#This Row],[Tipo de Servicio]]="","",Caratula!$D$15)</f>
        <v/>
      </c>
      <c r="B289" s="37" t="str">
        <f>IF(Table1[[#This Row],[Tipo de Servicio]]="","",Caratula!$D$16)</f>
        <v/>
      </c>
      <c r="C289" s="24" t="str">
        <f>IF(Table1[[#This Row],[Tipo de Servicio]]="","",Caratula!$D$17)</f>
        <v/>
      </c>
      <c r="D289" s="38" t="str">
        <f>IF(ISBLANK(Table1[[#This Row],[Tipo de Servicio]]),"",Caratula!$D$16)</f>
        <v/>
      </c>
      <c r="F289" t="str">
        <f>_xlfn.XLOOKUP(Table1[[#This Row],[SelGZ]]&amp;Table1[[#This Row],[Tipo de Servicio]],CatPEP!A:A,CatPEP!C:C,"")</f>
        <v/>
      </c>
      <c r="G289" t="str">
        <f>_xlfn.XLOOKUP(Table1[[#This Row],[PEP]],CatPEP!C:C,CatPEP!D:D,"")</f>
        <v/>
      </c>
      <c r="O289" s="53">
        <f>SUMIF('Registro Refacciones'!B:B, I289, 'Registro Refacciones'!I:I)</f>
        <v>0</v>
      </c>
      <c r="P289" s="26">
        <f>Table1[[#This Row],[Costo Servicio]]+Table1[[#This Row],[Refacciones]]</f>
        <v>0</v>
      </c>
      <c r="Q289" s="26"/>
    </row>
    <row r="290" spans="1:17">
      <c r="A290" s="37" t="str">
        <f>IF(Table1[[#This Row],[Tipo de Servicio]]="","",Caratula!$D$15)</f>
        <v/>
      </c>
      <c r="B290" s="37" t="str">
        <f>IF(Table1[[#This Row],[Tipo de Servicio]]="","",Caratula!$D$16)</f>
        <v/>
      </c>
      <c r="C290" s="24" t="str">
        <f>IF(Table1[[#This Row],[Tipo de Servicio]]="","",Caratula!$D$17)</f>
        <v/>
      </c>
      <c r="D290" s="38" t="str">
        <f>IF(ISBLANK(Table1[[#This Row],[Tipo de Servicio]]),"",Caratula!$D$16)</f>
        <v/>
      </c>
      <c r="F290" t="str">
        <f>_xlfn.XLOOKUP(Table1[[#This Row],[SelGZ]]&amp;Table1[[#This Row],[Tipo de Servicio]],CatPEP!A:A,CatPEP!C:C,"")</f>
        <v/>
      </c>
      <c r="G290" t="str">
        <f>_xlfn.XLOOKUP(Table1[[#This Row],[PEP]],CatPEP!C:C,CatPEP!D:D,"")</f>
        <v/>
      </c>
      <c r="O290" s="53">
        <f>SUMIF('Registro Refacciones'!B:B, I290, 'Registro Refacciones'!I:I)</f>
        <v>0</v>
      </c>
      <c r="P290" s="26">
        <f>Table1[[#This Row],[Costo Servicio]]+Table1[[#This Row],[Refacciones]]</f>
        <v>0</v>
      </c>
      <c r="Q290" s="26"/>
    </row>
    <row r="291" spans="1:17">
      <c r="A291" s="37" t="str">
        <f>IF(Table1[[#This Row],[Tipo de Servicio]]="","",Caratula!$D$15)</f>
        <v/>
      </c>
      <c r="B291" s="37" t="str">
        <f>IF(Table1[[#This Row],[Tipo de Servicio]]="","",Caratula!$D$16)</f>
        <v/>
      </c>
      <c r="C291" s="24" t="str">
        <f>IF(Table1[[#This Row],[Tipo de Servicio]]="","",Caratula!$D$17)</f>
        <v/>
      </c>
      <c r="D291" s="38" t="str">
        <f>IF(ISBLANK(Table1[[#This Row],[Tipo de Servicio]]),"",Caratula!$D$16)</f>
        <v/>
      </c>
      <c r="F291" t="str">
        <f>_xlfn.XLOOKUP(Table1[[#This Row],[SelGZ]]&amp;Table1[[#This Row],[Tipo de Servicio]],CatPEP!A:A,CatPEP!C:C,"")</f>
        <v/>
      </c>
      <c r="G291" t="str">
        <f>_xlfn.XLOOKUP(Table1[[#This Row],[PEP]],CatPEP!C:C,CatPEP!D:D,"")</f>
        <v/>
      </c>
      <c r="O291" s="53">
        <f>SUMIF('Registro Refacciones'!B:B, I291, 'Registro Refacciones'!I:I)</f>
        <v>0</v>
      </c>
      <c r="P291" s="26">
        <f>Table1[[#This Row],[Costo Servicio]]+Table1[[#This Row],[Refacciones]]</f>
        <v>0</v>
      </c>
      <c r="Q291" s="26"/>
    </row>
    <row r="292" spans="1:17">
      <c r="A292" s="37" t="str">
        <f>IF(Table1[[#This Row],[Tipo de Servicio]]="","",Caratula!$D$15)</f>
        <v/>
      </c>
      <c r="B292" s="37" t="str">
        <f>IF(Table1[[#This Row],[Tipo de Servicio]]="","",Caratula!$D$16)</f>
        <v/>
      </c>
      <c r="C292" s="24" t="str">
        <f>IF(Table1[[#This Row],[Tipo de Servicio]]="","",Caratula!$D$17)</f>
        <v/>
      </c>
      <c r="D292" s="38" t="str">
        <f>IF(ISBLANK(Table1[[#This Row],[Tipo de Servicio]]),"",Caratula!$D$16)</f>
        <v/>
      </c>
      <c r="F292" t="str">
        <f>_xlfn.XLOOKUP(Table1[[#This Row],[SelGZ]]&amp;Table1[[#This Row],[Tipo de Servicio]],CatPEP!A:A,CatPEP!C:C,"")</f>
        <v/>
      </c>
      <c r="G292" t="str">
        <f>_xlfn.XLOOKUP(Table1[[#This Row],[PEP]],CatPEP!C:C,CatPEP!D:D,"")</f>
        <v/>
      </c>
      <c r="O292" s="53">
        <f>SUMIF('Registro Refacciones'!B:B, I292, 'Registro Refacciones'!I:I)</f>
        <v>0</v>
      </c>
      <c r="P292" s="26">
        <f>Table1[[#This Row],[Costo Servicio]]+Table1[[#This Row],[Refacciones]]</f>
        <v>0</v>
      </c>
      <c r="Q292" s="26"/>
    </row>
    <row r="293" spans="1:17">
      <c r="A293" s="37" t="str">
        <f>IF(Table1[[#This Row],[Tipo de Servicio]]="","",Caratula!$D$15)</f>
        <v/>
      </c>
      <c r="B293" s="37" t="str">
        <f>IF(Table1[[#This Row],[Tipo de Servicio]]="","",Caratula!$D$16)</f>
        <v/>
      </c>
      <c r="C293" s="24" t="str">
        <f>IF(Table1[[#This Row],[Tipo de Servicio]]="","",Caratula!$D$17)</f>
        <v/>
      </c>
      <c r="D293" s="38" t="str">
        <f>IF(ISBLANK(Table1[[#This Row],[Tipo de Servicio]]),"",Caratula!$D$16)</f>
        <v/>
      </c>
      <c r="F293" t="str">
        <f>_xlfn.XLOOKUP(Table1[[#This Row],[SelGZ]]&amp;Table1[[#This Row],[Tipo de Servicio]],CatPEP!A:A,CatPEP!C:C,"")</f>
        <v/>
      </c>
      <c r="G293" t="str">
        <f>_xlfn.XLOOKUP(Table1[[#This Row],[PEP]],CatPEP!C:C,CatPEP!D:D,"")</f>
        <v/>
      </c>
      <c r="O293" s="53">
        <f>SUMIF('Registro Refacciones'!B:B, I293, 'Registro Refacciones'!I:I)</f>
        <v>0</v>
      </c>
      <c r="P293" s="26">
        <f>Table1[[#This Row],[Costo Servicio]]+Table1[[#This Row],[Refacciones]]</f>
        <v>0</v>
      </c>
      <c r="Q293" s="26"/>
    </row>
    <row r="294" spans="1:17">
      <c r="A294" s="37" t="str">
        <f>IF(Table1[[#This Row],[Tipo de Servicio]]="","",Caratula!$D$15)</f>
        <v/>
      </c>
      <c r="B294" s="37" t="str">
        <f>IF(Table1[[#This Row],[Tipo de Servicio]]="","",Caratula!$D$16)</f>
        <v/>
      </c>
      <c r="C294" s="24" t="str">
        <f>IF(Table1[[#This Row],[Tipo de Servicio]]="","",Caratula!$D$17)</f>
        <v/>
      </c>
      <c r="D294" s="38" t="str">
        <f>IF(ISBLANK(Table1[[#This Row],[Tipo de Servicio]]),"",Caratula!$D$16)</f>
        <v/>
      </c>
      <c r="F294" t="str">
        <f>_xlfn.XLOOKUP(Table1[[#This Row],[SelGZ]]&amp;Table1[[#This Row],[Tipo de Servicio]],CatPEP!A:A,CatPEP!C:C,"")</f>
        <v/>
      </c>
      <c r="G294" t="str">
        <f>_xlfn.XLOOKUP(Table1[[#This Row],[PEP]],CatPEP!C:C,CatPEP!D:D,"")</f>
        <v/>
      </c>
      <c r="O294" s="53">
        <f>SUMIF('Registro Refacciones'!B:B, I294, 'Registro Refacciones'!I:I)</f>
        <v>0</v>
      </c>
      <c r="P294" s="26">
        <f>Table1[[#This Row],[Costo Servicio]]+Table1[[#This Row],[Refacciones]]</f>
        <v>0</v>
      </c>
      <c r="Q294" s="26"/>
    </row>
    <row r="295" spans="1:17">
      <c r="A295" s="37" t="str">
        <f>IF(Table1[[#This Row],[Tipo de Servicio]]="","",Caratula!$D$15)</f>
        <v/>
      </c>
      <c r="B295" s="37" t="str">
        <f>IF(Table1[[#This Row],[Tipo de Servicio]]="","",Caratula!$D$16)</f>
        <v/>
      </c>
      <c r="C295" s="24" t="str">
        <f>IF(Table1[[#This Row],[Tipo de Servicio]]="","",Caratula!$D$17)</f>
        <v/>
      </c>
      <c r="D295" s="38" t="str">
        <f>IF(ISBLANK(Table1[[#This Row],[Tipo de Servicio]]),"",Caratula!$D$16)</f>
        <v/>
      </c>
      <c r="F295" t="str">
        <f>_xlfn.XLOOKUP(Table1[[#This Row],[SelGZ]]&amp;Table1[[#This Row],[Tipo de Servicio]],CatPEP!A:A,CatPEP!C:C,"")</f>
        <v/>
      </c>
      <c r="G295" t="str">
        <f>_xlfn.XLOOKUP(Table1[[#This Row],[PEP]],CatPEP!C:C,CatPEP!D:D,"")</f>
        <v/>
      </c>
      <c r="O295" s="53">
        <f>SUMIF('Registro Refacciones'!B:B, I295, 'Registro Refacciones'!I:I)</f>
        <v>0</v>
      </c>
      <c r="P295" s="26">
        <f>Table1[[#This Row],[Costo Servicio]]+Table1[[#This Row],[Refacciones]]</f>
        <v>0</v>
      </c>
      <c r="Q295" s="26"/>
    </row>
    <row r="296" spans="1:17">
      <c r="A296" s="37" t="str">
        <f>IF(Table1[[#This Row],[Tipo de Servicio]]="","",Caratula!$D$15)</f>
        <v/>
      </c>
      <c r="B296" s="37" t="str">
        <f>IF(Table1[[#This Row],[Tipo de Servicio]]="","",Caratula!$D$16)</f>
        <v/>
      </c>
      <c r="C296" s="24" t="str">
        <f>IF(Table1[[#This Row],[Tipo de Servicio]]="","",Caratula!$D$17)</f>
        <v/>
      </c>
      <c r="D296" s="38" t="str">
        <f>IF(ISBLANK(Table1[[#This Row],[Tipo de Servicio]]),"",Caratula!$D$16)</f>
        <v/>
      </c>
      <c r="F296" t="str">
        <f>_xlfn.XLOOKUP(Table1[[#This Row],[SelGZ]]&amp;Table1[[#This Row],[Tipo de Servicio]],CatPEP!A:A,CatPEP!C:C,"")</f>
        <v/>
      </c>
      <c r="G296" t="str">
        <f>_xlfn.XLOOKUP(Table1[[#This Row],[PEP]],CatPEP!C:C,CatPEP!D:D,"")</f>
        <v/>
      </c>
      <c r="O296" s="53">
        <f>SUMIF('Registro Refacciones'!B:B, I296, 'Registro Refacciones'!I:I)</f>
        <v>0</v>
      </c>
      <c r="P296" s="26">
        <f>Table1[[#This Row],[Costo Servicio]]+Table1[[#This Row],[Refacciones]]</f>
        <v>0</v>
      </c>
      <c r="Q296" s="26"/>
    </row>
    <row r="297" spans="1:17">
      <c r="A297" s="37" t="str">
        <f>IF(Table1[[#This Row],[Tipo de Servicio]]="","",Caratula!$D$15)</f>
        <v/>
      </c>
      <c r="B297" s="37" t="str">
        <f>IF(Table1[[#This Row],[Tipo de Servicio]]="","",Caratula!$D$16)</f>
        <v/>
      </c>
      <c r="C297" s="24" t="str">
        <f>IF(Table1[[#This Row],[Tipo de Servicio]]="","",Caratula!$D$17)</f>
        <v/>
      </c>
      <c r="D297" s="38" t="str">
        <f>IF(ISBLANK(Table1[[#This Row],[Tipo de Servicio]]),"",Caratula!$D$16)</f>
        <v/>
      </c>
      <c r="F297" t="str">
        <f>_xlfn.XLOOKUP(Table1[[#This Row],[SelGZ]]&amp;Table1[[#This Row],[Tipo de Servicio]],CatPEP!A:A,CatPEP!C:C,"")</f>
        <v/>
      </c>
      <c r="G297" t="str">
        <f>_xlfn.XLOOKUP(Table1[[#This Row],[PEP]],CatPEP!C:C,CatPEP!D:D,"")</f>
        <v/>
      </c>
      <c r="O297" s="53">
        <f>SUMIF('Registro Refacciones'!B:B, I297, 'Registro Refacciones'!I:I)</f>
        <v>0</v>
      </c>
      <c r="P297" s="26">
        <f>Table1[[#This Row],[Costo Servicio]]+Table1[[#This Row],[Refacciones]]</f>
        <v>0</v>
      </c>
      <c r="Q297" s="26"/>
    </row>
    <row r="298" spans="1:17">
      <c r="A298" s="37" t="str">
        <f>IF(Table1[[#This Row],[Tipo de Servicio]]="","",Caratula!$D$15)</f>
        <v/>
      </c>
      <c r="B298" s="37" t="str">
        <f>IF(Table1[[#This Row],[Tipo de Servicio]]="","",Caratula!$D$16)</f>
        <v/>
      </c>
      <c r="C298" s="24" t="str">
        <f>IF(Table1[[#This Row],[Tipo de Servicio]]="","",Caratula!$D$17)</f>
        <v/>
      </c>
      <c r="D298" s="38" t="str">
        <f>IF(ISBLANK(Table1[[#This Row],[Tipo de Servicio]]),"",Caratula!$D$16)</f>
        <v/>
      </c>
      <c r="F298" t="str">
        <f>_xlfn.XLOOKUP(Table1[[#This Row],[SelGZ]]&amp;Table1[[#This Row],[Tipo de Servicio]],CatPEP!A:A,CatPEP!C:C,"")</f>
        <v/>
      </c>
      <c r="G298" t="str">
        <f>_xlfn.XLOOKUP(Table1[[#This Row],[PEP]],CatPEP!C:C,CatPEP!D:D,"")</f>
        <v/>
      </c>
      <c r="O298" s="53">
        <f>SUMIF('Registro Refacciones'!B:B, I298, 'Registro Refacciones'!I:I)</f>
        <v>0</v>
      </c>
      <c r="P298" s="26">
        <f>Table1[[#This Row],[Costo Servicio]]+Table1[[#This Row],[Refacciones]]</f>
        <v>0</v>
      </c>
      <c r="Q298" s="26"/>
    </row>
    <row r="299" spans="1:17">
      <c r="A299" s="37" t="str">
        <f>IF(Table1[[#This Row],[Tipo de Servicio]]="","",Caratula!$D$15)</f>
        <v/>
      </c>
      <c r="B299" s="37" t="str">
        <f>IF(Table1[[#This Row],[Tipo de Servicio]]="","",Caratula!$D$16)</f>
        <v/>
      </c>
      <c r="C299" s="24" t="str">
        <f>IF(Table1[[#This Row],[Tipo de Servicio]]="","",Caratula!$D$17)</f>
        <v/>
      </c>
      <c r="D299" s="38" t="str">
        <f>IF(ISBLANK(Table1[[#This Row],[Tipo de Servicio]]),"",Caratula!$D$16)</f>
        <v/>
      </c>
      <c r="F299" t="str">
        <f>_xlfn.XLOOKUP(Table1[[#This Row],[SelGZ]]&amp;Table1[[#This Row],[Tipo de Servicio]],CatPEP!A:A,CatPEP!C:C,"")</f>
        <v/>
      </c>
      <c r="G299" t="str">
        <f>_xlfn.XLOOKUP(Table1[[#This Row],[PEP]],CatPEP!C:C,CatPEP!D:D,"")</f>
        <v/>
      </c>
      <c r="O299" s="53">
        <f>SUMIF('Registro Refacciones'!B:B, I299, 'Registro Refacciones'!I:I)</f>
        <v>0</v>
      </c>
      <c r="P299" s="26">
        <f>Table1[[#This Row],[Costo Servicio]]+Table1[[#This Row],[Refacciones]]</f>
        <v>0</v>
      </c>
      <c r="Q299" s="26"/>
    </row>
    <row r="300" spans="1:17">
      <c r="A300" s="37" t="str">
        <f>IF(Table1[[#This Row],[Tipo de Servicio]]="","",Caratula!$D$15)</f>
        <v/>
      </c>
      <c r="B300" s="37" t="str">
        <f>IF(Table1[[#This Row],[Tipo de Servicio]]="","",Caratula!$D$16)</f>
        <v/>
      </c>
      <c r="C300" s="24" t="str">
        <f>IF(Table1[[#This Row],[Tipo de Servicio]]="","",Caratula!$D$17)</f>
        <v/>
      </c>
      <c r="D300" s="38" t="str">
        <f>IF(ISBLANK(Table1[[#This Row],[Tipo de Servicio]]),"",Caratula!$D$16)</f>
        <v/>
      </c>
      <c r="F300" t="str">
        <f>_xlfn.XLOOKUP(Table1[[#This Row],[SelGZ]]&amp;Table1[[#This Row],[Tipo de Servicio]],CatPEP!A:A,CatPEP!C:C,"")</f>
        <v/>
      </c>
      <c r="G300" t="str">
        <f>_xlfn.XLOOKUP(Table1[[#This Row],[PEP]],CatPEP!C:C,CatPEP!D:D,"")</f>
        <v/>
      </c>
      <c r="O300" s="53">
        <f>SUMIF('Registro Refacciones'!B:B, I300, 'Registro Refacciones'!I:I)</f>
        <v>0</v>
      </c>
      <c r="P300" s="26">
        <f>Table1[[#This Row],[Costo Servicio]]+Table1[[#This Row],[Refacciones]]</f>
        <v>0</v>
      </c>
      <c r="Q300" s="26"/>
    </row>
    <row r="301" spans="1:17">
      <c r="A301" s="37" t="str">
        <f>IF(Table1[[#This Row],[Tipo de Servicio]]="","",Caratula!$D$15)</f>
        <v/>
      </c>
      <c r="B301" s="37" t="str">
        <f>IF(Table1[[#This Row],[Tipo de Servicio]]="","",Caratula!$D$16)</f>
        <v/>
      </c>
      <c r="C301" s="24" t="str">
        <f>IF(Table1[[#This Row],[Tipo de Servicio]]="","",Caratula!$D$17)</f>
        <v/>
      </c>
      <c r="D301" s="38" t="str">
        <f>IF(ISBLANK(Table1[[#This Row],[Tipo de Servicio]]),"",Caratula!$D$16)</f>
        <v/>
      </c>
      <c r="F301" t="str">
        <f>_xlfn.XLOOKUP(Table1[[#This Row],[SelGZ]]&amp;Table1[[#This Row],[Tipo de Servicio]],CatPEP!A:A,CatPEP!C:C,"")</f>
        <v/>
      </c>
      <c r="G301" t="str">
        <f>_xlfn.XLOOKUP(Table1[[#This Row],[PEP]],CatPEP!C:C,CatPEP!D:D,"")</f>
        <v/>
      </c>
      <c r="O301" s="53">
        <f>SUMIF('Registro Refacciones'!B:B, I301, 'Registro Refacciones'!I:I)</f>
        <v>0</v>
      </c>
      <c r="P301" s="26">
        <f>Table1[[#This Row],[Costo Servicio]]+Table1[[#This Row],[Refacciones]]</f>
        <v>0</v>
      </c>
      <c r="Q301" s="26"/>
    </row>
    <row r="302" spans="1:17">
      <c r="A302" s="37" t="str">
        <f>IF(Table1[[#This Row],[Tipo de Servicio]]="","",Caratula!$D$15)</f>
        <v/>
      </c>
      <c r="B302" s="37" t="str">
        <f>IF(Table1[[#This Row],[Tipo de Servicio]]="","",Caratula!$D$16)</f>
        <v/>
      </c>
      <c r="C302" s="24" t="str">
        <f>IF(Table1[[#This Row],[Tipo de Servicio]]="","",Caratula!$D$17)</f>
        <v/>
      </c>
      <c r="D302" s="38" t="str">
        <f>IF(ISBLANK(Table1[[#This Row],[Tipo de Servicio]]),"",Caratula!$D$16)</f>
        <v/>
      </c>
      <c r="F302" t="str">
        <f>_xlfn.XLOOKUP(Table1[[#This Row],[SelGZ]]&amp;Table1[[#This Row],[Tipo de Servicio]],CatPEP!A:A,CatPEP!C:C,"")</f>
        <v/>
      </c>
      <c r="G302" t="str">
        <f>_xlfn.XLOOKUP(Table1[[#This Row],[PEP]],CatPEP!C:C,CatPEP!D:D,"")</f>
        <v/>
      </c>
      <c r="O302" s="53">
        <f>SUMIF('Registro Refacciones'!B:B, I302, 'Registro Refacciones'!I:I)</f>
        <v>0</v>
      </c>
      <c r="P302" s="26">
        <f>Table1[[#This Row],[Costo Servicio]]+Table1[[#This Row],[Refacciones]]</f>
        <v>0</v>
      </c>
      <c r="Q302" s="26"/>
    </row>
    <row r="303" spans="1:17">
      <c r="A303" s="37" t="str">
        <f>IF(Table1[[#This Row],[Tipo de Servicio]]="","",Caratula!$D$15)</f>
        <v/>
      </c>
      <c r="B303" s="37" t="str">
        <f>IF(Table1[[#This Row],[Tipo de Servicio]]="","",Caratula!$D$16)</f>
        <v/>
      </c>
      <c r="C303" s="24" t="str">
        <f>IF(Table1[[#This Row],[Tipo de Servicio]]="","",Caratula!$D$17)</f>
        <v/>
      </c>
      <c r="D303" s="38" t="str">
        <f>IF(ISBLANK(Table1[[#This Row],[Tipo de Servicio]]),"",Caratula!$D$16)</f>
        <v/>
      </c>
      <c r="F303" t="str">
        <f>_xlfn.XLOOKUP(Table1[[#This Row],[SelGZ]]&amp;Table1[[#This Row],[Tipo de Servicio]],CatPEP!A:A,CatPEP!C:C,"")</f>
        <v/>
      </c>
      <c r="G303" t="str">
        <f>_xlfn.XLOOKUP(Table1[[#This Row],[PEP]],CatPEP!C:C,CatPEP!D:D,"")</f>
        <v/>
      </c>
      <c r="O303" s="53">
        <f>SUMIF('Registro Refacciones'!B:B, I303, 'Registro Refacciones'!I:I)</f>
        <v>0</v>
      </c>
      <c r="P303" s="26">
        <f>Table1[[#This Row],[Costo Servicio]]+Table1[[#This Row],[Refacciones]]</f>
        <v>0</v>
      </c>
      <c r="Q303" s="26"/>
    </row>
    <row r="304" spans="1:17">
      <c r="A304" s="37" t="str">
        <f>IF(Table1[[#This Row],[Tipo de Servicio]]="","",Caratula!$D$15)</f>
        <v/>
      </c>
      <c r="B304" s="37" t="str">
        <f>IF(Table1[[#This Row],[Tipo de Servicio]]="","",Caratula!$D$16)</f>
        <v/>
      </c>
      <c r="C304" s="24" t="str">
        <f>IF(Table1[[#This Row],[Tipo de Servicio]]="","",Caratula!$D$17)</f>
        <v/>
      </c>
      <c r="D304" s="38" t="str">
        <f>IF(ISBLANK(Table1[[#This Row],[Tipo de Servicio]]),"",Caratula!$D$16)</f>
        <v/>
      </c>
      <c r="F304" t="str">
        <f>_xlfn.XLOOKUP(Table1[[#This Row],[SelGZ]]&amp;Table1[[#This Row],[Tipo de Servicio]],CatPEP!A:A,CatPEP!C:C,"")</f>
        <v/>
      </c>
      <c r="G304" t="str">
        <f>_xlfn.XLOOKUP(Table1[[#This Row],[PEP]],CatPEP!C:C,CatPEP!D:D,"")</f>
        <v/>
      </c>
      <c r="O304" s="53">
        <f>SUMIF('Registro Refacciones'!B:B, I304, 'Registro Refacciones'!I:I)</f>
        <v>0</v>
      </c>
      <c r="P304" s="26">
        <f>Table1[[#This Row],[Costo Servicio]]+Table1[[#This Row],[Refacciones]]</f>
        <v>0</v>
      </c>
      <c r="Q304" s="26"/>
    </row>
    <row r="305" spans="1:17">
      <c r="A305" s="37" t="str">
        <f>IF(Table1[[#This Row],[Tipo de Servicio]]="","",Caratula!$D$15)</f>
        <v/>
      </c>
      <c r="B305" s="37" t="str">
        <f>IF(Table1[[#This Row],[Tipo de Servicio]]="","",Caratula!$D$16)</f>
        <v/>
      </c>
      <c r="C305" s="24" t="str">
        <f>IF(Table1[[#This Row],[Tipo de Servicio]]="","",Caratula!$D$17)</f>
        <v/>
      </c>
      <c r="D305" s="38" t="str">
        <f>IF(ISBLANK(Table1[[#This Row],[Tipo de Servicio]]),"",Caratula!$D$16)</f>
        <v/>
      </c>
      <c r="F305" t="str">
        <f>_xlfn.XLOOKUP(Table1[[#This Row],[SelGZ]]&amp;Table1[[#This Row],[Tipo de Servicio]],CatPEP!A:A,CatPEP!C:C,"")</f>
        <v/>
      </c>
      <c r="G305" t="str">
        <f>_xlfn.XLOOKUP(Table1[[#This Row],[PEP]],CatPEP!C:C,CatPEP!D:D,"")</f>
        <v/>
      </c>
      <c r="O305" s="53">
        <f>SUMIF('Registro Refacciones'!B:B, I305, 'Registro Refacciones'!I:I)</f>
        <v>0</v>
      </c>
      <c r="P305" s="26">
        <f>Table1[[#This Row],[Costo Servicio]]+Table1[[#This Row],[Refacciones]]</f>
        <v>0</v>
      </c>
      <c r="Q305" s="26"/>
    </row>
    <row r="306" spans="1:17">
      <c r="A306" s="37" t="str">
        <f>IF(Table1[[#This Row],[Tipo de Servicio]]="","",Caratula!$D$15)</f>
        <v/>
      </c>
      <c r="B306" s="37" t="str">
        <f>IF(Table1[[#This Row],[Tipo de Servicio]]="","",Caratula!$D$16)</f>
        <v/>
      </c>
      <c r="C306" s="24" t="str">
        <f>IF(Table1[[#This Row],[Tipo de Servicio]]="","",Caratula!$D$17)</f>
        <v/>
      </c>
      <c r="D306" s="38" t="str">
        <f>IF(ISBLANK(Table1[[#This Row],[Tipo de Servicio]]),"",Caratula!$D$16)</f>
        <v/>
      </c>
      <c r="F306" t="str">
        <f>_xlfn.XLOOKUP(Table1[[#This Row],[SelGZ]]&amp;Table1[[#This Row],[Tipo de Servicio]],CatPEP!A:A,CatPEP!C:C,"")</f>
        <v/>
      </c>
      <c r="G306" t="str">
        <f>_xlfn.XLOOKUP(Table1[[#This Row],[PEP]],CatPEP!C:C,CatPEP!D:D,"")</f>
        <v/>
      </c>
      <c r="O306" s="53">
        <f>SUMIF('Registro Refacciones'!B:B, I306, 'Registro Refacciones'!I:I)</f>
        <v>0</v>
      </c>
      <c r="P306" s="26">
        <f>Table1[[#This Row],[Costo Servicio]]+Table1[[#This Row],[Refacciones]]</f>
        <v>0</v>
      </c>
      <c r="Q306" s="26"/>
    </row>
    <row r="307" spans="1:17">
      <c r="A307" s="37" t="str">
        <f>IF(Table1[[#This Row],[Tipo de Servicio]]="","",Caratula!$D$15)</f>
        <v/>
      </c>
      <c r="B307" s="37" t="str">
        <f>IF(Table1[[#This Row],[Tipo de Servicio]]="","",Caratula!$D$16)</f>
        <v/>
      </c>
      <c r="C307" s="24" t="str">
        <f>IF(Table1[[#This Row],[Tipo de Servicio]]="","",Caratula!$D$17)</f>
        <v/>
      </c>
      <c r="D307" s="38" t="str">
        <f>IF(ISBLANK(Table1[[#This Row],[Tipo de Servicio]]),"",Caratula!$D$16)</f>
        <v/>
      </c>
      <c r="F307" t="str">
        <f>_xlfn.XLOOKUP(Table1[[#This Row],[SelGZ]]&amp;Table1[[#This Row],[Tipo de Servicio]],CatPEP!A:A,CatPEP!C:C,"")</f>
        <v/>
      </c>
      <c r="G307" t="str">
        <f>_xlfn.XLOOKUP(Table1[[#This Row],[PEP]],CatPEP!C:C,CatPEP!D:D,"")</f>
        <v/>
      </c>
      <c r="O307" s="53">
        <f>SUMIF('Registro Refacciones'!B:B, I307, 'Registro Refacciones'!I:I)</f>
        <v>0</v>
      </c>
      <c r="P307" s="26">
        <f>Table1[[#This Row],[Costo Servicio]]+Table1[[#This Row],[Refacciones]]</f>
        <v>0</v>
      </c>
      <c r="Q307" s="26"/>
    </row>
    <row r="308" spans="1:17">
      <c r="A308" s="37" t="str">
        <f>IF(Table1[[#This Row],[Tipo de Servicio]]="","",Caratula!$D$15)</f>
        <v/>
      </c>
      <c r="B308" s="37" t="str">
        <f>IF(Table1[[#This Row],[Tipo de Servicio]]="","",Caratula!$D$16)</f>
        <v/>
      </c>
      <c r="C308" s="24" t="str">
        <f>IF(Table1[[#This Row],[Tipo de Servicio]]="","",Caratula!$D$17)</f>
        <v/>
      </c>
      <c r="D308" s="38" t="str">
        <f>IF(ISBLANK(Table1[[#This Row],[Tipo de Servicio]]),"",Caratula!$D$16)</f>
        <v/>
      </c>
      <c r="F308" t="str">
        <f>_xlfn.XLOOKUP(Table1[[#This Row],[SelGZ]]&amp;Table1[[#This Row],[Tipo de Servicio]],CatPEP!A:A,CatPEP!C:C,"")</f>
        <v/>
      </c>
      <c r="G308" t="str">
        <f>_xlfn.XLOOKUP(Table1[[#This Row],[PEP]],CatPEP!C:C,CatPEP!D:D,"")</f>
        <v/>
      </c>
      <c r="O308" s="53">
        <f>SUMIF('Registro Refacciones'!B:B, I308, 'Registro Refacciones'!I:I)</f>
        <v>0</v>
      </c>
      <c r="P308" s="26">
        <f>Table1[[#This Row],[Costo Servicio]]+Table1[[#This Row],[Refacciones]]</f>
        <v>0</v>
      </c>
      <c r="Q308" s="26"/>
    </row>
    <row r="309" spans="1:17">
      <c r="A309" s="37" t="str">
        <f>IF(Table1[[#This Row],[Tipo de Servicio]]="","",Caratula!$D$15)</f>
        <v/>
      </c>
      <c r="B309" s="37" t="str">
        <f>IF(Table1[[#This Row],[Tipo de Servicio]]="","",Caratula!$D$16)</f>
        <v/>
      </c>
      <c r="C309" s="24" t="str">
        <f>IF(Table1[[#This Row],[Tipo de Servicio]]="","",Caratula!$D$17)</f>
        <v/>
      </c>
      <c r="D309" s="38" t="str">
        <f>IF(ISBLANK(Table1[[#This Row],[Tipo de Servicio]]),"",Caratula!$D$16)</f>
        <v/>
      </c>
      <c r="F309" t="str">
        <f>_xlfn.XLOOKUP(Table1[[#This Row],[SelGZ]]&amp;Table1[[#This Row],[Tipo de Servicio]],CatPEP!A:A,CatPEP!C:C,"")</f>
        <v/>
      </c>
      <c r="G309" t="str">
        <f>_xlfn.XLOOKUP(Table1[[#This Row],[PEP]],CatPEP!C:C,CatPEP!D:D,"")</f>
        <v/>
      </c>
      <c r="O309" s="53">
        <f>SUMIF('Registro Refacciones'!B:B, I309, 'Registro Refacciones'!I:I)</f>
        <v>0</v>
      </c>
      <c r="P309" s="26">
        <f>Table1[[#This Row],[Costo Servicio]]+Table1[[#This Row],[Refacciones]]</f>
        <v>0</v>
      </c>
      <c r="Q309" s="26"/>
    </row>
    <row r="310" spans="1:17">
      <c r="A310" s="37" t="str">
        <f>IF(Table1[[#This Row],[Tipo de Servicio]]="","",Caratula!$D$15)</f>
        <v/>
      </c>
      <c r="B310" s="37" t="str">
        <f>IF(Table1[[#This Row],[Tipo de Servicio]]="","",Caratula!$D$16)</f>
        <v/>
      </c>
      <c r="C310" s="24" t="str">
        <f>IF(Table1[[#This Row],[Tipo de Servicio]]="","",Caratula!$D$17)</f>
        <v/>
      </c>
      <c r="D310" s="38" t="str">
        <f>IF(ISBLANK(Table1[[#This Row],[Tipo de Servicio]]),"",Caratula!$D$16)</f>
        <v/>
      </c>
      <c r="F310" t="str">
        <f>_xlfn.XLOOKUP(Table1[[#This Row],[SelGZ]]&amp;Table1[[#This Row],[Tipo de Servicio]],CatPEP!A:A,CatPEP!C:C,"")</f>
        <v/>
      </c>
      <c r="G310" t="str">
        <f>_xlfn.XLOOKUP(Table1[[#This Row],[PEP]],CatPEP!C:C,CatPEP!D:D,"")</f>
        <v/>
      </c>
      <c r="O310" s="53">
        <f>SUMIF('Registro Refacciones'!B:B, I310, 'Registro Refacciones'!I:I)</f>
        <v>0</v>
      </c>
      <c r="P310" s="26">
        <f>Table1[[#This Row],[Costo Servicio]]+Table1[[#This Row],[Refacciones]]</f>
        <v>0</v>
      </c>
      <c r="Q310" s="26"/>
    </row>
    <row r="311" spans="1:17">
      <c r="A311" s="37" t="str">
        <f>IF(Table1[[#This Row],[Tipo de Servicio]]="","",Caratula!$D$15)</f>
        <v/>
      </c>
      <c r="B311" s="37" t="str">
        <f>IF(Table1[[#This Row],[Tipo de Servicio]]="","",Caratula!$D$16)</f>
        <v/>
      </c>
      <c r="C311" s="24" t="str">
        <f>IF(Table1[[#This Row],[Tipo de Servicio]]="","",Caratula!$D$17)</f>
        <v/>
      </c>
      <c r="D311" s="38" t="str">
        <f>IF(ISBLANK(Table1[[#This Row],[Tipo de Servicio]]),"",Caratula!$D$16)</f>
        <v/>
      </c>
      <c r="F311" t="str">
        <f>_xlfn.XLOOKUP(Table1[[#This Row],[SelGZ]]&amp;Table1[[#This Row],[Tipo de Servicio]],CatPEP!A:A,CatPEP!C:C,"")</f>
        <v/>
      </c>
      <c r="G311" t="str">
        <f>_xlfn.XLOOKUP(Table1[[#This Row],[PEP]],CatPEP!C:C,CatPEP!D:D,"")</f>
        <v/>
      </c>
      <c r="O311" s="53">
        <f>SUMIF('Registro Refacciones'!B:B, I311, 'Registro Refacciones'!I:I)</f>
        <v>0</v>
      </c>
      <c r="P311" s="26">
        <f>Table1[[#This Row],[Costo Servicio]]+Table1[[#This Row],[Refacciones]]</f>
        <v>0</v>
      </c>
      <c r="Q311" s="26"/>
    </row>
    <row r="312" spans="1:17">
      <c r="A312" s="37" t="str">
        <f>IF(Table1[[#This Row],[Tipo de Servicio]]="","",Caratula!$D$15)</f>
        <v/>
      </c>
      <c r="B312" s="37" t="str">
        <f>IF(Table1[[#This Row],[Tipo de Servicio]]="","",Caratula!$D$16)</f>
        <v/>
      </c>
      <c r="C312" s="24" t="str">
        <f>IF(Table1[[#This Row],[Tipo de Servicio]]="","",Caratula!$D$17)</f>
        <v/>
      </c>
      <c r="D312" s="38" t="str">
        <f>IF(ISBLANK(Table1[[#This Row],[Tipo de Servicio]]),"",Caratula!$D$16)</f>
        <v/>
      </c>
      <c r="F312" t="str">
        <f>_xlfn.XLOOKUP(Table1[[#This Row],[SelGZ]]&amp;Table1[[#This Row],[Tipo de Servicio]],CatPEP!A:A,CatPEP!C:C,"")</f>
        <v/>
      </c>
      <c r="G312" t="str">
        <f>_xlfn.XLOOKUP(Table1[[#This Row],[PEP]],CatPEP!C:C,CatPEP!D:D,"")</f>
        <v/>
      </c>
      <c r="O312" s="53">
        <f>SUMIF('Registro Refacciones'!B:B, I312, 'Registro Refacciones'!I:I)</f>
        <v>0</v>
      </c>
      <c r="P312" s="26">
        <f>Table1[[#This Row],[Costo Servicio]]+Table1[[#This Row],[Refacciones]]</f>
        <v>0</v>
      </c>
      <c r="Q312" s="26"/>
    </row>
    <row r="313" spans="1:17">
      <c r="A313" s="37" t="str">
        <f>IF(Table1[[#This Row],[Tipo de Servicio]]="","",Caratula!$D$15)</f>
        <v/>
      </c>
      <c r="B313" s="37" t="str">
        <f>IF(Table1[[#This Row],[Tipo de Servicio]]="","",Caratula!$D$16)</f>
        <v/>
      </c>
      <c r="C313" s="24" t="str">
        <f>IF(Table1[[#This Row],[Tipo de Servicio]]="","",Caratula!$D$17)</f>
        <v/>
      </c>
      <c r="D313" s="38" t="str">
        <f>IF(ISBLANK(Table1[[#This Row],[Tipo de Servicio]]),"",Caratula!$D$16)</f>
        <v/>
      </c>
      <c r="F313" t="str">
        <f>_xlfn.XLOOKUP(Table1[[#This Row],[SelGZ]]&amp;Table1[[#This Row],[Tipo de Servicio]],CatPEP!A:A,CatPEP!C:C,"")</f>
        <v/>
      </c>
      <c r="G313" t="str">
        <f>_xlfn.XLOOKUP(Table1[[#This Row],[PEP]],CatPEP!C:C,CatPEP!D:D,"")</f>
        <v/>
      </c>
      <c r="O313" s="53">
        <f>SUMIF('Registro Refacciones'!B:B, I313, 'Registro Refacciones'!I:I)</f>
        <v>0</v>
      </c>
      <c r="P313" s="26">
        <f>Table1[[#This Row],[Costo Servicio]]+Table1[[#This Row],[Refacciones]]</f>
        <v>0</v>
      </c>
      <c r="Q313" s="26"/>
    </row>
    <row r="314" spans="1:17">
      <c r="A314" s="37" t="str">
        <f>IF(Table1[[#This Row],[Tipo de Servicio]]="","",Caratula!$D$15)</f>
        <v/>
      </c>
      <c r="B314" s="37" t="str">
        <f>IF(Table1[[#This Row],[Tipo de Servicio]]="","",Caratula!$D$16)</f>
        <v/>
      </c>
      <c r="C314" s="24" t="str">
        <f>IF(Table1[[#This Row],[Tipo de Servicio]]="","",Caratula!$D$17)</f>
        <v/>
      </c>
      <c r="D314" s="38" t="str">
        <f>IF(ISBLANK(Table1[[#This Row],[Tipo de Servicio]]),"",Caratula!$D$16)</f>
        <v/>
      </c>
      <c r="F314" t="str">
        <f>_xlfn.XLOOKUP(Table1[[#This Row],[SelGZ]]&amp;Table1[[#This Row],[Tipo de Servicio]],CatPEP!A:A,CatPEP!C:C,"")</f>
        <v/>
      </c>
      <c r="G314" t="str">
        <f>_xlfn.XLOOKUP(Table1[[#This Row],[PEP]],CatPEP!C:C,CatPEP!D:D,"")</f>
        <v/>
      </c>
      <c r="O314" s="53">
        <f>SUMIF('Registro Refacciones'!B:B, I314, 'Registro Refacciones'!I:I)</f>
        <v>0</v>
      </c>
      <c r="P314" s="26">
        <f>Table1[[#This Row],[Costo Servicio]]+Table1[[#This Row],[Refacciones]]</f>
        <v>0</v>
      </c>
      <c r="Q314" s="26"/>
    </row>
    <row r="315" spans="1:17">
      <c r="A315" s="37" t="str">
        <f>IF(Table1[[#This Row],[Tipo de Servicio]]="","",Caratula!$D$15)</f>
        <v/>
      </c>
      <c r="B315" s="37" t="str">
        <f>IF(Table1[[#This Row],[Tipo de Servicio]]="","",Caratula!$D$16)</f>
        <v/>
      </c>
      <c r="C315" s="24" t="str">
        <f>IF(Table1[[#This Row],[Tipo de Servicio]]="","",Caratula!$D$17)</f>
        <v/>
      </c>
      <c r="D315" s="38" t="str">
        <f>IF(ISBLANK(Table1[[#This Row],[Tipo de Servicio]]),"",Caratula!$D$16)</f>
        <v/>
      </c>
      <c r="F315" t="str">
        <f>_xlfn.XLOOKUP(Table1[[#This Row],[SelGZ]]&amp;Table1[[#This Row],[Tipo de Servicio]],CatPEP!A:A,CatPEP!C:C,"")</f>
        <v/>
      </c>
      <c r="G315" t="str">
        <f>_xlfn.XLOOKUP(Table1[[#This Row],[PEP]],CatPEP!C:C,CatPEP!D:D,"")</f>
        <v/>
      </c>
      <c r="O315" s="53">
        <f>SUMIF('Registro Refacciones'!B:B, I315, 'Registro Refacciones'!I:I)</f>
        <v>0</v>
      </c>
      <c r="P315" s="26">
        <f>Table1[[#This Row],[Costo Servicio]]+Table1[[#This Row],[Refacciones]]</f>
        <v>0</v>
      </c>
      <c r="Q315" s="26"/>
    </row>
    <row r="316" spans="1:17">
      <c r="A316" s="37" t="str">
        <f>IF(Table1[[#This Row],[Tipo de Servicio]]="","",Caratula!$D$15)</f>
        <v/>
      </c>
      <c r="B316" s="37" t="str">
        <f>IF(Table1[[#This Row],[Tipo de Servicio]]="","",Caratula!$D$16)</f>
        <v/>
      </c>
      <c r="C316" s="24" t="str">
        <f>IF(Table1[[#This Row],[Tipo de Servicio]]="","",Caratula!$D$17)</f>
        <v/>
      </c>
      <c r="D316" s="38" t="str">
        <f>IF(ISBLANK(Table1[[#This Row],[Tipo de Servicio]]),"",Caratula!$D$16)</f>
        <v/>
      </c>
      <c r="F316" t="str">
        <f>_xlfn.XLOOKUP(Table1[[#This Row],[SelGZ]]&amp;Table1[[#This Row],[Tipo de Servicio]],CatPEP!A:A,CatPEP!C:C,"")</f>
        <v/>
      </c>
      <c r="G316" t="str">
        <f>_xlfn.XLOOKUP(Table1[[#This Row],[PEP]],CatPEP!C:C,CatPEP!D:D,"")</f>
        <v/>
      </c>
      <c r="O316" s="53">
        <f>SUMIF('Registro Refacciones'!B:B, I316, 'Registro Refacciones'!I:I)</f>
        <v>0</v>
      </c>
      <c r="P316" s="26">
        <f>Table1[[#This Row],[Costo Servicio]]+Table1[[#This Row],[Refacciones]]</f>
        <v>0</v>
      </c>
      <c r="Q316" s="26"/>
    </row>
    <row r="317" spans="1:17">
      <c r="A317" s="37" t="str">
        <f>IF(Table1[[#This Row],[Tipo de Servicio]]="","",Caratula!$D$15)</f>
        <v/>
      </c>
      <c r="B317" s="37" t="str">
        <f>IF(Table1[[#This Row],[Tipo de Servicio]]="","",Caratula!$D$16)</f>
        <v/>
      </c>
      <c r="C317" s="24" t="str">
        <f>IF(Table1[[#This Row],[Tipo de Servicio]]="","",Caratula!$D$17)</f>
        <v/>
      </c>
      <c r="D317" s="38" t="str">
        <f>IF(ISBLANK(Table1[[#This Row],[Tipo de Servicio]]),"",Caratula!$D$16)</f>
        <v/>
      </c>
      <c r="F317" t="str">
        <f>_xlfn.XLOOKUP(Table1[[#This Row],[SelGZ]]&amp;Table1[[#This Row],[Tipo de Servicio]],CatPEP!A:A,CatPEP!C:C,"")</f>
        <v/>
      </c>
      <c r="G317" t="str">
        <f>_xlfn.XLOOKUP(Table1[[#This Row],[PEP]],CatPEP!C:C,CatPEP!D:D,"")</f>
        <v/>
      </c>
      <c r="O317" s="53">
        <f>SUMIF('Registro Refacciones'!B:B, I317, 'Registro Refacciones'!I:I)</f>
        <v>0</v>
      </c>
      <c r="P317" s="26">
        <f>Table1[[#This Row],[Costo Servicio]]+Table1[[#This Row],[Refacciones]]</f>
        <v>0</v>
      </c>
      <c r="Q317" s="26"/>
    </row>
    <row r="318" spans="1:17">
      <c r="A318" s="37" t="str">
        <f>IF(Table1[[#This Row],[Tipo de Servicio]]="","",Caratula!$D$15)</f>
        <v/>
      </c>
      <c r="B318" s="37" t="str">
        <f>IF(Table1[[#This Row],[Tipo de Servicio]]="","",Caratula!$D$16)</f>
        <v/>
      </c>
      <c r="C318" s="24" t="str">
        <f>IF(Table1[[#This Row],[Tipo de Servicio]]="","",Caratula!$D$17)</f>
        <v/>
      </c>
      <c r="D318" s="38" t="str">
        <f>IF(ISBLANK(Table1[[#This Row],[Tipo de Servicio]]),"",Caratula!$D$16)</f>
        <v/>
      </c>
      <c r="F318" t="str">
        <f>_xlfn.XLOOKUP(Table1[[#This Row],[SelGZ]]&amp;Table1[[#This Row],[Tipo de Servicio]],CatPEP!A:A,CatPEP!C:C,"")</f>
        <v/>
      </c>
      <c r="G318" t="str">
        <f>_xlfn.XLOOKUP(Table1[[#This Row],[PEP]],CatPEP!C:C,CatPEP!D:D,"")</f>
        <v/>
      </c>
      <c r="O318" s="53">
        <f>SUMIF('Registro Refacciones'!B:B, I318, 'Registro Refacciones'!I:I)</f>
        <v>0</v>
      </c>
      <c r="P318" s="26">
        <f>Table1[[#This Row],[Costo Servicio]]+Table1[[#This Row],[Refacciones]]</f>
        <v>0</v>
      </c>
      <c r="Q318" s="26"/>
    </row>
    <row r="319" spans="1:17">
      <c r="A319" s="37" t="str">
        <f>IF(Table1[[#This Row],[Tipo de Servicio]]="","",Caratula!$D$15)</f>
        <v/>
      </c>
      <c r="B319" s="37" t="str">
        <f>IF(Table1[[#This Row],[Tipo de Servicio]]="","",Caratula!$D$16)</f>
        <v/>
      </c>
      <c r="C319" s="24" t="str">
        <f>IF(Table1[[#This Row],[Tipo de Servicio]]="","",Caratula!$D$17)</f>
        <v/>
      </c>
      <c r="D319" s="38" t="str">
        <f>IF(ISBLANK(Table1[[#This Row],[Tipo de Servicio]]),"",Caratula!$D$16)</f>
        <v/>
      </c>
      <c r="F319" t="str">
        <f>_xlfn.XLOOKUP(Table1[[#This Row],[SelGZ]]&amp;Table1[[#This Row],[Tipo de Servicio]],CatPEP!A:A,CatPEP!C:C,"")</f>
        <v/>
      </c>
      <c r="G319" t="str">
        <f>_xlfn.XLOOKUP(Table1[[#This Row],[PEP]],CatPEP!C:C,CatPEP!D:D,"")</f>
        <v/>
      </c>
      <c r="O319" s="53">
        <f>SUMIF('Registro Refacciones'!B:B, I319, 'Registro Refacciones'!I:I)</f>
        <v>0</v>
      </c>
      <c r="P319" s="26">
        <f>Table1[[#This Row],[Costo Servicio]]+Table1[[#This Row],[Refacciones]]</f>
        <v>0</v>
      </c>
      <c r="Q319" s="26"/>
    </row>
    <row r="320" spans="1:17">
      <c r="A320" s="37" t="str">
        <f>IF(Table1[[#This Row],[Tipo de Servicio]]="","",Caratula!$D$15)</f>
        <v/>
      </c>
      <c r="B320" s="37" t="str">
        <f>IF(Table1[[#This Row],[Tipo de Servicio]]="","",Caratula!$D$16)</f>
        <v/>
      </c>
      <c r="C320" s="24" t="str">
        <f>IF(Table1[[#This Row],[Tipo de Servicio]]="","",Caratula!$D$17)</f>
        <v/>
      </c>
      <c r="D320" s="38" t="str">
        <f>IF(ISBLANK(Table1[[#This Row],[Tipo de Servicio]]),"",Caratula!$D$16)</f>
        <v/>
      </c>
      <c r="F320" t="str">
        <f>_xlfn.XLOOKUP(Table1[[#This Row],[SelGZ]]&amp;Table1[[#This Row],[Tipo de Servicio]],CatPEP!A:A,CatPEP!C:C,"")</f>
        <v/>
      </c>
      <c r="G320" t="str">
        <f>_xlfn.XLOOKUP(Table1[[#This Row],[PEP]],CatPEP!C:C,CatPEP!D:D,"")</f>
        <v/>
      </c>
      <c r="O320" s="53">
        <f>SUMIF('Registro Refacciones'!B:B, I320, 'Registro Refacciones'!I:I)</f>
        <v>0</v>
      </c>
      <c r="P320" s="26">
        <f>Table1[[#This Row],[Costo Servicio]]+Table1[[#This Row],[Refacciones]]</f>
        <v>0</v>
      </c>
      <c r="Q320" s="26"/>
    </row>
    <row r="321" spans="1:17">
      <c r="A321" s="37" t="str">
        <f>IF(Table1[[#This Row],[Tipo de Servicio]]="","",Caratula!$D$15)</f>
        <v/>
      </c>
      <c r="B321" s="37" t="str">
        <f>IF(Table1[[#This Row],[Tipo de Servicio]]="","",Caratula!$D$16)</f>
        <v/>
      </c>
      <c r="C321" s="24" t="str">
        <f>IF(Table1[[#This Row],[Tipo de Servicio]]="","",Caratula!$D$17)</f>
        <v/>
      </c>
      <c r="D321" s="38" t="str">
        <f>IF(ISBLANK(Table1[[#This Row],[Tipo de Servicio]]),"",Caratula!$D$16)</f>
        <v/>
      </c>
      <c r="F321" t="str">
        <f>_xlfn.XLOOKUP(Table1[[#This Row],[SelGZ]]&amp;Table1[[#This Row],[Tipo de Servicio]],CatPEP!A:A,CatPEP!C:C,"")</f>
        <v/>
      </c>
      <c r="G321" t="str">
        <f>_xlfn.XLOOKUP(Table1[[#This Row],[PEP]],CatPEP!C:C,CatPEP!D:D,"")</f>
        <v/>
      </c>
      <c r="O321" s="53">
        <f>SUMIF('Registro Refacciones'!B:B, I321, 'Registro Refacciones'!I:I)</f>
        <v>0</v>
      </c>
      <c r="P321" s="26">
        <f>Table1[[#This Row],[Costo Servicio]]+Table1[[#This Row],[Refacciones]]</f>
        <v>0</v>
      </c>
      <c r="Q321" s="26"/>
    </row>
    <row r="322" spans="1:17">
      <c r="A322" s="37" t="str">
        <f>IF(Table1[[#This Row],[Tipo de Servicio]]="","",Caratula!$D$15)</f>
        <v/>
      </c>
      <c r="B322" s="37" t="str">
        <f>IF(Table1[[#This Row],[Tipo de Servicio]]="","",Caratula!$D$16)</f>
        <v/>
      </c>
      <c r="C322" s="24" t="str">
        <f>IF(Table1[[#This Row],[Tipo de Servicio]]="","",Caratula!$D$17)</f>
        <v/>
      </c>
      <c r="D322" s="38" t="str">
        <f>IF(ISBLANK(Table1[[#This Row],[Tipo de Servicio]]),"",Caratula!$D$16)</f>
        <v/>
      </c>
      <c r="F322" t="str">
        <f>_xlfn.XLOOKUP(Table1[[#This Row],[SelGZ]]&amp;Table1[[#This Row],[Tipo de Servicio]],CatPEP!A:A,CatPEP!C:C,"")</f>
        <v/>
      </c>
      <c r="G322" t="str">
        <f>_xlfn.XLOOKUP(Table1[[#This Row],[PEP]],CatPEP!C:C,CatPEP!D:D,"")</f>
        <v/>
      </c>
      <c r="O322" s="53">
        <f>SUMIF('Registro Refacciones'!B:B, I322, 'Registro Refacciones'!I:I)</f>
        <v>0</v>
      </c>
      <c r="P322" s="26">
        <f>Table1[[#This Row],[Costo Servicio]]+Table1[[#This Row],[Refacciones]]</f>
        <v>0</v>
      </c>
      <c r="Q322" s="26"/>
    </row>
    <row r="323" spans="1:17">
      <c r="A323" s="37" t="str">
        <f>IF(Table1[[#This Row],[Tipo de Servicio]]="","",Caratula!$D$15)</f>
        <v/>
      </c>
      <c r="B323" s="37" t="str">
        <f>IF(Table1[[#This Row],[Tipo de Servicio]]="","",Caratula!$D$16)</f>
        <v/>
      </c>
      <c r="C323" s="24" t="str">
        <f>IF(Table1[[#This Row],[Tipo de Servicio]]="","",Caratula!$D$17)</f>
        <v/>
      </c>
      <c r="D323" s="38" t="str">
        <f>IF(ISBLANK(Table1[[#This Row],[Tipo de Servicio]]),"",Caratula!$D$16)</f>
        <v/>
      </c>
      <c r="F323" t="str">
        <f>_xlfn.XLOOKUP(Table1[[#This Row],[SelGZ]]&amp;Table1[[#This Row],[Tipo de Servicio]],CatPEP!A:A,CatPEP!C:C,"")</f>
        <v/>
      </c>
      <c r="G323" t="str">
        <f>_xlfn.XLOOKUP(Table1[[#This Row],[PEP]],CatPEP!C:C,CatPEP!D:D,"")</f>
        <v/>
      </c>
      <c r="O323" s="53">
        <f>SUMIF('Registro Refacciones'!B:B, I323, 'Registro Refacciones'!I:I)</f>
        <v>0</v>
      </c>
      <c r="P323" s="26">
        <f>Table1[[#This Row],[Costo Servicio]]+Table1[[#This Row],[Refacciones]]</f>
        <v>0</v>
      </c>
      <c r="Q323" s="26"/>
    </row>
    <row r="324" spans="1:17">
      <c r="A324" s="37" t="str">
        <f>IF(Table1[[#This Row],[Tipo de Servicio]]="","",Caratula!$D$15)</f>
        <v/>
      </c>
      <c r="B324" s="37" t="str">
        <f>IF(Table1[[#This Row],[Tipo de Servicio]]="","",Caratula!$D$16)</f>
        <v/>
      </c>
      <c r="C324" s="24" t="str">
        <f>IF(Table1[[#This Row],[Tipo de Servicio]]="","",Caratula!$D$17)</f>
        <v/>
      </c>
      <c r="D324" s="38" t="str">
        <f>IF(ISBLANK(Table1[[#This Row],[Tipo de Servicio]]),"",Caratula!$D$16)</f>
        <v/>
      </c>
      <c r="F324" t="str">
        <f>_xlfn.XLOOKUP(Table1[[#This Row],[SelGZ]]&amp;Table1[[#This Row],[Tipo de Servicio]],CatPEP!A:A,CatPEP!C:C,"")</f>
        <v/>
      </c>
      <c r="G324" t="str">
        <f>_xlfn.XLOOKUP(Table1[[#This Row],[PEP]],CatPEP!C:C,CatPEP!D:D,"")</f>
        <v/>
      </c>
      <c r="O324" s="53">
        <f>SUMIF('Registro Refacciones'!B:B, I324, 'Registro Refacciones'!I:I)</f>
        <v>0</v>
      </c>
      <c r="P324" s="26">
        <f>Table1[[#This Row],[Costo Servicio]]+Table1[[#This Row],[Refacciones]]</f>
        <v>0</v>
      </c>
      <c r="Q324" s="26"/>
    </row>
    <row r="325" spans="1:17">
      <c r="A325" s="37" t="str">
        <f>IF(Table1[[#This Row],[Tipo de Servicio]]="","",Caratula!$D$15)</f>
        <v/>
      </c>
      <c r="B325" s="37" t="str">
        <f>IF(Table1[[#This Row],[Tipo de Servicio]]="","",Caratula!$D$16)</f>
        <v/>
      </c>
      <c r="C325" s="24" t="str">
        <f>IF(Table1[[#This Row],[Tipo de Servicio]]="","",Caratula!$D$17)</f>
        <v/>
      </c>
      <c r="D325" s="38" t="str">
        <f>IF(ISBLANK(Table1[[#This Row],[Tipo de Servicio]]),"",Caratula!$D$16)</f>
        <v/>
      </c>
      <c r="F325" t="str">
        <f>_xlfn.XLOOKUP(Table1[[#This Row],[SelGZ]]&amp;Table1[[#This Row],[Tipo de Servicio]],CatPEP!A:A,CatPEP!C:C,"")</f>
        <v/>
      </c>
      <c r="G325" t="str">
        <f>_xlfn.XLOOKUP(Table1[[#This Row],[PEP]],CatPEP!C:C,CatPEP!D:D,"")</f>
        <v/>
      </c>
      <c r="O325" s="53">
        <f>SUMIF('Registro Refacciones'!B:B, I325, 'Registro Refacciones'!I:I)</f>
        <v>0</v>
      </c>
      <c r="P325" s="26">
        <f>Table1[[#This Row],[Costo Servicio]]+Table1[[#This Row],[Refacciones]]</f>
        <v>0</v>
      </c>
      <c r="Q325" s="26"/>
    </row>
    <row r="326" spans="1:17">
      <c r="A326" s="37" t="str">
        <f>IF(Table1[[#This Row],[Tipo de Servicio]]="","",Caratula!$D$15)</f>
        <v/>
      </c>
      <c r="B326" s="37" t="str">
        <f>IF(Table1[[#This Row],[Tipo de Servicio]]="","",Caratula!$D$16)</f>
        <v/>
      </c>
      <c r="C326" s="24" t="str">
        <f>IF(Table1[[#This Row],[Tipo de Servicio]]="","",Caratula!$D$17)</f>
        <v/>
      </c>
      <c r="D326" s="38" t="str">
        <f>IF(ISBLANK(Table1[[#This Row],[Tipo de Servicio]]),"",Caratula!$D$16)</f>
        <v/>
      </c>
      <c r="F326" t="str">
        <f>_xlfn.XLOOKUP(Table1[[#This Row],[SelGZ]]&amp;Table1[[#This Row],[Tipo de Servicio]],CatPEP!A:A,CatPEP!C:C,"")</f>
        <v/>
      </c>
      <c r="G326" t="str">
        <f>_xlfn.XLOOKUP(Table1[[#This Row],[PEP]],CatPEP!C:C,CatPEP!D:D,"")</f>
        <v/>
      </c>
      <c r="O326" s="53">
        <f>SUMIF('Registro Refacciones'!B:B, I326, 'Registro Refacciones'!I:I)</f>
        <v>0</v>
      </c>
      <c r="P326" s="26">
        <f>Table1[[#This Row],[Costo Servicio]]+Table1[[#This Row],[Refacciones]]</f>
        <v>0</v>
      </c>
      <c r="Q326" s="26"/>
    </row>
    <row r="327" spans="1:17">
      <c r="A327" s="37" t="str">
        <f>IF(Table1[[#This Row],[Tipo de Servicio]]="","",Caratula!$D$15)</f>
        <v/>
      </c>
      <c r="B327" s="37" t="str">
        <f>IF(Table1[[#This Row],[Tipo de Servicio]]="","",Caratula!$D$16)</f>
        <v/>
      </c>
      <c r="C327" s="24" t="str">
        <f>IF(Table1[[#This Row],[Tipo de Servicio]]="","",Caratula!$D$17)</f>
        <v/>
      </c>
      <c r="D327" s="38" t="str">
        <f>IF(ISBLANK(Table1[[#This Row],[Tipo de Servicio]]),"",Caratula!$D$16)</f>
        <v/>
      </c>
      <c r="F327" t="str">
        <f>_xlfn.XLOOKUP(Table1[[#This Row],[SelGZ]]&amp;Table1[[#This Row],[Tipo de Servicio]],CatPEP!A:A,CatPEP!C:C,"")</f>
        <v/>
      </c>
      <c r="G327" t="str">
        <f>_xlfn.XLOOKUP(Table1[[#This Row],[PEP]],CatPEP!C:C,CatPEP!D:D,"")</f>
        <v/>
      </c>
      <c r="O327" s="53">
        <f>SUMIF('Registro Refacciones'!B:B, I327, 'Registro Refacciones'!I:I)</f>
        <v>0</v>
      </c>
      <c r="P327" s="26">
        <f>Table1[[#This Row],[Costo Servicio]]+Table1[[#This Row],[Refacciones]]</f>
        <v>0</v>
      </c>
      <c r="Q327" s="26"/>
    </row>
    <row r="328" spans="1:17">
      <c r="A328" s="37" t="str">
        <f>IF(Table1[[#This Row],[Tipo de Servicio]]="","",Caratula!$D$15)</f>
        <v/>
      </c>
      <c r="B328" s="37" t="str">
        <f>IF(Table1[[#This Row],[Tipo de Servicio]]="","",Caratula!$D$16)</f>
        <v/>
      </c>
      <c r="C328" s="24" t="str">
        <f>IF(Table1[[#This Row],[Tipo de Servicio]]="","",Caratula!$D$17)</f>
        <v/>
      </c>
      <c r="D328" s="38" t="str">
        <f>IF(ISBLANK(Table1[[#This Row],[Tipo de Servicio]]),"",Caratula!$D$16)</f>
        <v/>
      </c>
      <c r="F328" t="str">
        <f>_xlfn.XLOOKUP(Table1[[#This Row],[SelGZ]]&amp;Table1[[#This Row],[Tipo de Servicio]],CatPEP!A:A,CatPEP!C:C,"")</f>
        <v/>
      </c>
      <c r="G328" t="str">
        <f>_xlfn.XLOOKUP(Table1[[#This Row],[PEP]],CatPEP!C:C,CatPEP!D:D,"")</f>
        <v/>
      </c>
      <c r="O328" s="53">
        <f>SUMIF('Registro Refacciones'!B:B, I328, 'Registro Refacciones'!I:I)</f>
        <v>0</v>
      </c>
      <c r="P328" s="26">
        <f>Table1[[#This Row],[Costo Servicio]]+Table1[[#This Row],[Refacciones]]</f>
        <v>0</v>
      </c>
      <c r="Q328" s="26"/>
    </row>
    <row r="329" spans="1:17">
      <c r="A329" s="37" t="str">
        <f>IF(Table1[[#This Row],[Tipo de Servicio]]="","",Caratula!$D$15)</f>
        <v/>
      </c>
      <c r="B329" s="37" t="str">
        <f>IF(Table1[[#This Row],[Tipo de Servicio]]="","",Caratula!$D$16)</f>
        <v/>
      </c>
      <c r="C329" s="24" t="str">
        <f>IF(Table1[[#This Row],[Tipo de Servicio]]="","",Caratula!$D$17)</f>
        <v/>
      </c>
      <c r="D329" s="38" t="str">
        <f>IF(ISBLANK(Table1[[#This Row],[Tipo de Servicio]]),"",Caratula!$D$16)</f>
        <v/>
      </c>
      <c r="F329" t="str">
        <f>_xlfn.XLOOKUP(Table1[[#This Row],[SelGZ]]&amp;Table1[[#This Row],[Tipo de Servicio]],CatPEP!A:A,CatPEP!C:C,"")</f>
        <v/>
      </c>
      <c r="G329" t="str">
        <f>_xlfn.XLOOKUP(Table1[[#This Row],[PEP]],CatPEP!C:C,CatPEP!D:D,"")</f>
        <v/>
      </c>
      <c r="O329" s="53">
        <f>SUMIF('Registro Refacciones'!B:B, I329, 'Registro Refacciones'!I:I)</f>
        <v>0</v>
      </c>
      <c r="P329" s="26">
        <f>Table1[[#This Row],[Costo Servicio]]+Table1[[#This Row],[Refacciones]]</f>
        <v>0</v>
      </c>
      <c r="Q329" s="26"/>
    </row>
    <row r="330" spans="1:17">
      <c r="A330" s="37" t="str">
        <f>IF(Table1[[#This Row],[Tipo de Servicio]]="","",Caratula!$D$15)</f>
        <v/>
      </c>
      <c r="B330" s="37" t="str">
        <f>IF(Table1[[#This Row],[Tipo de Servicio]]="","",Caratula!$D$16)</f>
        <v/>
      </c>
      <c r="C330" s="24" t="str">
        <f>IF(Table1[[#This Row],[Tipo de Servicio]]="","",Caratula!$D$17)</f>
        <v/>
      </c>
      <c r="D330" s="38" t="str">
        <f>IF(ISBLANK(Table1[[#This Row],[Tipo de Servicio]]),"",Caratula!$D$16)</f>
        <v/>
      </c>
      <c r="F330" t="str">
        <f>_xlfn.XLOOKUP(Table1[[#This Row],[SelGZ]]&amp;Table1[[#This Row],[Tipo de Servicio]],CatPEP!A:A,CatPEP!C:C,"")</f>
        <v/>
      </c>
      <c r="G330" t="str">
        <f>_xlfn.XLOOKUP(Table1[[#This Row],[PEP]],CatPEP!C:C,CatPEP!D:D,"")</f>
        <v/>
      </c>
      <c r="O330" s="53">
        <f>SUMIF('Registro Refacciones'!B:B, I330, 'Registro Refacciones'!I:I)</f>
        <v>0</v>
      </c>
      <c r="P330" s="26">
        <f>Table1[[#This Row],[Costo Servicio]]+Table1[[#This Row],[Refacciones]]</f>
        <v>0</v>
      </c>
      <c r="Q330" s="26"/>
    </row>
    <row r="331" spans="1:17">
      <c r="A331" s="37" t="str">
        <f>IF(Table1[[#This Row],[Tipo de Servicio]]="","",Caratula!$D$15)</f>
        <v/>
      </c>
      <c r="B331" s="37" t="str">
        <f>IF(Table1[[#This Row],[Tipo de Servicio]]="","",Caratula!$D$16)</f>
        <v/>
      </c>
      <c r="C331" s="24" t="str">
        <f>IF(Table1[[#This Row],[Tipo de Servicio]]="","",Caratula!$D$17)</f>
        <v/>
      </c>
      <c r="D331" s="38" t="str">
        <f>IF(ISBLANK(Table1[[#This Row],[Tipo de Servicio]]),"",Caratula!$D$16)</f>
        <v/>
      </c>
      <c r="F331" t="str">
        <f>_xlfn.XLOOKUP(Table1[[#This Row],[SelGZ]]&amp;Table1[[#This Row],[Tipo de Servicio]],CatPEP!A:A,CatPEP!C:C,"")</f>
        <v/>
      </c>
      <c r="G331" t="str">
        <f>_xlfn.XLOOKUP(Table1[[#This Row],[PEP]],CatPEP!C:C,CatPEP!D:D,"")</f>
        <v/>
      </c>
      <c r="O331" s="53">
        <f>SUMIF('Registro Refacciones'!B:B, I331, 'Registro Refacciones'!I:I)</f>
        <v>0</v>
      </c>
      <c r="P331" s="26">
        <f>Table1[[#This Row],[Costo Servicio]]+Table1[[#This Row],[Refacciones]]</f>
        <v>0</v>
      </c>
      <c r="Q331" s="26"/>
    </row>
    <row r="332" spans="1:17">
      <c r="A332" s="37" t="str">
        <f>IF(Table1[[#This Row],[Tipo de Servicio]]="","",Caratula!$D$15)</f>
        <v/>
      </c>
      <c r="B332" s="37" t="str">
        <f>IF(Table1[[#This Row],[Tipo de Servicio]]="","",Caratula!$D$16)</f>
        <v/>
      </c>
      <c r="C332" s="24" t="str">
        <f>IF(Table1[[#This Row],[Tipo de Servicio]]="","",Caratula!$D$17)</f>
        <v/>
      </c>
      <c r="D332" s="38" t="str">
        <f>IF(ISBLANK(Table1[[#This Row],[Tipo de Servicio]]),"",Caratula!$D$16)</f>
        <v/>
      </c>
      <c r="F332" t="str">
        <f>_xlfn.XLOOKUP(Table1[[#This Row],[SelGZ]]&amp;Table1[[#This Row],[Tipo de Servicio]],CatPEP!A:A,CatPEP!C:C,"")</f>
        <v/>
      </c>
      <c r="G332" t="str">
        <f>_xlfn.XLOOKUP(Table1[[#This Row],[PEP]],CatPEP!C:C,CatPEP!D:D,"")</f>
        <v/>
      </c>
      <c r="O332" s="53">
        <f>SUMIF('Registro Refacciones'!B:B, I332, 'Registro Refacciones'!I:I)</f>
        <v>0</v>
      </c>
      <c r="P332" s="26">
        <f>Table1[[#This Row],[Costo Servicio]]+Table1[[#This Row],[Refacciones]]</f>
        <v>0</v>
      </c>
      <c r="Q332" s="26"/>
    </row>
    <row r="333" spans="1:17">
      <c r="A333" s="37" t="str">
        <f>IF(Table1[[#This Row],[Tipo de Servicio]]="","",Caratula!$D$15)</f>
        <v/>
      </c>
      <c r="B333" s="37" t="str">
        <f>IF(Table1[[#This Row],[Tipo de Servicio]]="","",Caratula!$D$16)</f>
        <v/>
      </c>
      <c r="C333" s="24" t="str">
        <f>IF(Table1[[#This Row],[Tipo de Servicio]]="","",Caratula!$D$17)</f>
        <v/>
      </c>
      <c r="D333" s="38" t="str">
        <f>IF(ISBLANK(Table1[[#This Row],[Tipo de Servicio]]),"",Caratula!$D$16)</f>
        <v/>
      </c>
      <c r="F333" t="str">
        <f>_xlfn.XLOOKUP(Table1[[#This Row],[SelGZ]]&amp;Table1[[#This Row],[Tipo de Servicio]],CatPEP!A:A,CatPEP!C:C,"")</f>
        <v/>
      </c>
      <c r="G333" t="str">
        <f>_xlfn.XLOOKUP(Table1[[#This Row],[PEP]],CatPEP!C:C,CatPEP!D:D,"")</f>
        <v/>
      </c>
      <c r="O333" s="53">
        <f>SUMIF('Registro Refacciones'!B:B, I333, 'Registro Refacciones'!I:I)</f>
        <v>0</v>
      </c>
      <c r="P333" s="26">
        <f>Table1[[#This Row],[Costo Servicio]]+Table1[[#This Row],[Refacciones]]</f>
        <v>0</v>
      </c>
      <c r="Q333" s="26"/>
    </row>
    <row r="334" spans="1:17">
      <c r="A334" s="37" t="str">
        <f>IF(Table1[[#This Row],[Tipo de Servicio]]="","",Caratula!$D$15)</f>
        <v/>
      </c>
      <c r="B334" s="37" t="str">
        <f>IF(Table1[[#This Row],[Tipo de Servicio]]="","",Caratula!$D$16)</f>
        <v/>
      </c>
      <c r="C334" s="24" t="str">
        <f>IF(Table1[[#This Row],[Tipo de Servicio]]="","",Caratula!$D$17)</f>
        <v/>
      </c>
      <c r="D334" s="38" t="str">
        <f>IF(ISBLANK(Table1[[#This Row],[Tipo de Servicio]]),"",Caratula!$D$16)</f>
        <v/>
      </c>
      <c r="F334" t="str">
        <f>_xlfn.XLOOKUP(Table1[[#This Row],[SelGZ]]&amp;Table1[[#This Row],[Tipo de Servicio]],CatPEP!A:A,CatPEP!C:C,"")</f>
        <v/>
      </c>
      <c r="G334" t="str">
        <f>_xlfn.XLOOKUP(Table1[[#This Row],[PEP]],CatPEP!C:C,CatPEP!D:D,"")</f>
        <v/>
      </c>
      <c r="O334" s="53">
        <f>SUMIF('Registro Refacciones'!B:B, I334, 'Registro Refacciones'!I:I)</f>
        <v>0</v>
      </c>
      <c r="P334" s="26">
        <f>Table1[[#This Row],[Costo Servicio]]+Table1[[#This Row],[Refacciones]]</f>
        <v>0</v>
      </c>
      <c r="Q334" s="26"/>
    </row>
    <row r="335" spans="1:17">
      <c r="A335" s="37" t="str">
        <f>IF(Table1[[#This Row],[Tipo de Servicio]]="","",Caratula!$D$15)</f>
        <v/>
      </c>
      <c r="B335" s="37" t="str">
        <f>IF(Table1[[#This Row],[Tipo de Servicio]]="","",Caratula!$D$16)</f>
        <v/>
      </c>
      <c r="C335" s="24" t="str">
        <f>IF(Table1[[#This Row],[Tipo de Servicio]]="","",Caratula!$D$17)</f>
        <v/>
      </c>
      <c r="D335" s="38" t="str">
        <f>IF(ISBLANK(Table1[[#This Row],[Tipo de Servicio]]),"",Caratula!$D$16)</f>
        <v/>
      </c>
      <c r="F335" t="str">
        <f>_xlfn.XLOOKUP(Table1[[#This Row],[SelGZ]]&amp;Table1[[#This Row],[Tipo de Servicio]],CatPEP!A:A,CatPEP!C:C,"")</f>
        <v/>
      </c>
      <c r="G335" t="str">
        <f>_xlfn.XLOOKUP(Table1[[#This Row],[PEP]],CatPEP!C:C,CatPEP!D:D,"")</f>
        <v/>
      </c>
      <c r="O335" s="53">
        <f>SUMIF('Registro Refacciones'!B:B, I335, 'Registro Refacciones'!I:I)</f>
        <v>0</v>
      </c>
      <c r="P335" s="26">
        <f>Table1[[#This Row],[Costo Servicio]]+Table1[[#This Row],[Refacciones]]</f>
        <v>0</v>
      </c>
      <c r="Q335" s="26"/>
    </row>
    <row r="336" spans="1:17">
      <c r="A336" s="37" t="str">
        <f>IF(Table1[[#This Row],[Tipo de Servicio]]="","",Caratula!$D$15)</f>
        <v/>
      </c>
      <c r="B336" s="37" t="str">
        <f>IF(Table1[[#This Row],[Tipo de Servicio]]="","",Caratula!$D$16)</f>
        <v/>
      </c>
      <c r="C336" s="24" t="str">
        <f>IF(Table1[[#This Row],[Tipo de Servicio]]="","",Caratula!$D$17)</f>
        <v/>
      </c>
      <c r="D336" s="38" t="str">
        <f>IF(ISBLANK(Table1[[#This Row],[Tipo de Servicio]]),"",Caratula!$D$16)</f>
        <v/>
      </c>
      <c r="F336" t="str">
        <f>_xlfn.XLOOKUP(Table1[[#This Row],[SelGZ]]&amp;Table1[[#This Row],[Tipo de Servicio]],CatPEP!A:A,CatPEP!C:C,"")</f>
        <v/>
      </c>
      <c r="G336" t="str">
        <f>_xlfn.XLOOKUP(Table1[[#This Row],[PEP]],CatPEP!C:C,CatPEP!D:D,"")</f>
        <v/>
      </c>
      <c r="O336" s="53">
        <f>SUMIF('Registro Refacciones'!B:B, I336, 'Registro Refacciones'!I:I)</f>
        <v>0</v>
      </c>
      <c r="P336" s="26">
        <f>Table1[[#This Row],[Costo Servicio]]+Table1[[#This Row],[Refacciones]]</f>
        <v>0</v>
      </c>
      <c r="Q336" s="26"/>
    </row>
    <row r="337" spans="1:17">
      <c r="A337" s="37" t="str">
        <f>IF(Table1[[#This Row],[Tipo de Servicio]]="","",Caratula!$D$15)</f>
        <v/>
      </c>
      <c r="B337" s="37" t="str">
        <f>IF(Table1[[#This Row],[Tipo de Servicio]]="","",Caratula!$D$16)</f>
        <v/>
      </c>
      <c r="C337" s="24" t="str">
        <f>IF(Table1[[#This Row],[Tipo de Servicio]]="","",Caratula!$D$17)</f>
        <v/>
      </c>
      <c r="D337" s="38" t="str">
        <f>IF(ISBLANK(Table1[[#This Row],[Tipo de Servicio]]),"",Caratula!$D$16)</f>
        <v/>
      </c>
      <c r="F337" t="str">
        <f>_xlfn.XLOOKUP(Table1[[#This Row],[SelGZ]]&amp;Table1[[#This Row],[Tipo de Servicio]],CatPEP!A:A,CatPEP!C:C,"")</f>
        <v/>
      </c>
      <c r="G337" t="str">
        <f>_xlfn.XLOOKUP(Table1[[#This Row],[PEP]],CatPEP!C:C,CatPEP!D:D,"")</f>
        <v/>
      </c>
      <c r="O337" s="53">
        <f>SUMIF('Registro Refacciones'!B:B, I337, 'Registro Refacciones'!I:I)</f>
        <v>0</v>
      </c>
      <c r="P337" s="26">
        <f>Table1[[#This Row],[Costo Servicio]]+Table1[[#This Row],[Refacciones]]</f>
        <v>0</v>
      </c>
      <c r="Q337" s="26"/>
    </row>
    <row r="338" spans="1:17">
      <c r="A338" s="37" t="str">
        <f>IF(Table1[[#This Row],[Tipo de Servicio]]="","",Caratula!$D$15)</f>
        <v/>
      </c>
      <c r="B338" s="37" t="str">
        <f>IF(Table1[[#This Row],[Tipo de Servicio]]="","",Caratula!$D$16)</f>
        <v/>
      </c>
      <c r="C338" s="24" t="str">
        <f>IF(Table1[[#This Row],[Tipo de Servicio]]="","",Caratula!$D$17)</f>
        <v/>
      </c>
      <c r="D338" s="38" t="str">
        <f>IF(ISBLANK(Table1[[#This Row],[Tipo de Servicio]]),"",Caratula!$D$16)</f>
        <v/>
      </c>
      <c r="F338" t="str">
        <f>_xlfn.XLOOKUP(Table1[[#This Row],[SelGZ]]&amp;Table1[[#This Row],[Tipo de Servicio]],CatPEP!A:A,CatPEP!C:C,"")</f>
        <v/>
      </c>
      <c r="G338" t="str">
        <f>_xlfn.XLOOKUP(Table1[[#This Row],[PEP]],CatPEP!C:C,CatPEP!D:D,"")</f>
        <v/>
      </c>
      <c r="O338" s="53">
        <f>SUMIF('Registro Refacciones'!B:B, I338, 'Registro Refacciones'!I:I)</f>
        <v>0</v>
      </c>
      <c r="P338" s="26">
        <f>Table1[[#This Row],[Costo Servicio]]+Table1[[#This Row],[Refacciones]]</f>
        <v>0</v>
      </c>
      <c r="Q338" s="26"/>
    </row>
    <row r="339" spans="1:17">
      <c r="A339" s="37" t="str">
        <f>IF(Table1[[#This Row],[Tipo de Servicio]]="","",Caratula!$D$15)</f>
        <v/>
      </c>
      <c r="B339" s="37" t="str">
        <f>IF(Table1[[#This Row],[Tipo de Servicio]]="","",Caratula!$D$16)</f>
        <v/>
      </c>
      <c r="C339" s="24" t="str">
        <f>IF(Table1[[#This Row],[Tipo de Servicio]]="","",Caratula!$D$17)</f>
        <v/>
      </c>
      <c r="D339" s="38" t="str">
        <f>IF(ISBLANK(Table1[[#This Row],[Tipo de Servicio]]),"",Caratula!$D$16)</f>
        <v/>
      </c>
      <c r="F339" t="str">
        <f>_xlfn.XLOOKUP(Table1[[#This Row],[SelGZ]]&amp;Table1[[#This Row],[Tipo de Servicio]],CatPEP!A:A,CatPEP!C:C,"")</f>
        <v/>
      </c>
      <c r="G339" t="str">
        <f>_xlfn.XLOOKUP(Table1[[#This Row],[PEP]],CatPEP!C:C,CatPEP!D:D,"")</f>
        <v/>
      </c>
      <c r="O339" s="53">
        <f>SUMIF('Registro Refacciones'!B:B, I339, 'Registro Refacciones'!I:I)</f>
        <v>0</v>
      </c>
      <c r="P339" s="26">
        <f>Table1[[#This Row],[Costo Servicio]]+Table1[[#This Row],[Refacciones]]</f>
        <v>0</v>
      </c>
      <c r="Q339" s="26"/>
    </row>
    <row r="340" spans="1:17">
      <c r="A340" s="37" t="str">
        <f>IF(Table1[[#This Row],[Tipo de Servicio]]="","",Caratula!$D$15)</f>
        <v/>
      </c>
      <c r="B340" s="37" t="str">
        <f>IF(Table1[[#This Row],[Tipo de Servicio]]="","",Caratula!$D$16)</f>
        <v/>
      </c>
      <c r="C340" s="24" t="str">
        <f>IF(Table1[[#This Row],[Tipo de Servicio]]="","",Caratula!$D$17)</f>
        <v/>
      </c>
      <c r="D340" s="38" t="str">
        <f>IF(ISBLANK(Table1[[#This Row],[Tipo de Servicio]]),"",Caratula!$D$16)</f>
        <v/>
      </c>
      <c r="F340" t="str">
        <f>_xlfn.XLOOKUP(Table1[[#This Row],[SelGZ]]&amp;Table1[[#This Row],[Tipo de Servicio]],CatPEP!A:A,CatPEP!C:C,"")</f>
        <v/>
      </c>
      <c r="G340" t="str">
        <f>_xlfn.XLOOKUP(Table1[[#This Row],[PEP]],CatPEP!C:C,CatPEP!D:D,"")</f>
        <v/>
      </c>
      <c r="O340" s="53">
        <f>SUMIF('Registro Refacciones'!B:B, I340, 'Registro Refacciones'!I:I)</f>
        <v>0</v>
      </c>
      <c r="P340" s="26">
        <f>Table1[[#This Row],[Costo Servicio]]+Table1[[#This Row],[Refacciones]]</f>
        <v>0</v>
      </c>
      <c r="Q340" s="26"/>
    </row>
    <row r="341" spans="1:17">
      <c r="A341" s="37" t="str">
        <f>IF(Table1[[#This Row],[Tipo de Servicio]]="","",Caratula!$D$15)</f>
        <v/>
      </c>
      <c r="B341" s="37" t="str">
        <f>IF(Table1[[#This Row],[Tipo de Servicio]]="","",Caratula!$D$16)</f>
        <v/>
      </c>
      <c r="C341" s="24" t="str">
        <f>IF(Table1[[#This Row],[Tipo de Servicio]]="","",Caratula!$D$17)</f>
        <v/>
      </c>
      <c r="D341" s="38" t="str">
        <f>IF(ISBLANK(Table1[[#This Row],[Tipo de Servicio]]),"",Caratula!$D$16)</f>
        <v/>
      </c>
      <c r="F341" t="str">
        <f>_xlfn.XLOOKUP(Table1[[#This Row],[SelGZ]]&amp;Table1[[#This Row],[Tipo de Servicio]],CatPEP!A:A,CatPEP!C:C,"")</f>
        <v/>
      </c>
      <c r="G341" t="str">
        <f>_xlfn.XLOOKUP(Table1[[#This Row],[PEP]],CatPEP!C:C,CatPEP!D:D,"")</f>
        <v/>
      </c>
      <c r="O341" s="53">
        <f>SUMIF('Registro Refacciones'!B:B, I341, 'Registro Refacciones'!I:I)</f>
        <v>0</v>
      </c>
      <c r="P341" s="26">
        <f>Table1[[#This Row],[Costo Servicio]]+Table1[[#This Row],[Refacciones]]</f>
        <v>0</v>
      </c>
      <c r="Q341" s="26"/>
    </row>
    <row r="342" spans="1:17">
      <c r="A342" s="37" t="str">
        <f>IF(Table1[[#This Row],[Tipo de Servicio]]="","",Caratula!$D$15)</f>
        <v/>
      </c>
      <c r="B342" s="37" t="str">
        <f>IF(Table1[[#This Row],[Tipo de Servicio]]="","",Caratula!$D$16)</f>
        <v/>
      </c>
      <c r="C342" s="24" t="str">
        <f>IF(Table1[[#This Row],[Tipo de Servicio]]="","",Caratula!$D$17)</f>
        <v/>
      </c>
      <c r="D342" s="38" t="str">
        <f>IF(ISBLANK(Table1[[#This Row],[Tipo de Servicio]]),"",Caratula!$D$16)</f>
        <v/>
      </c>
      <c r="F342" t="str">
        <f>_xlfn.XLOOKUP(Table1[[#This Row],[SelGZ]]&amp;Table1[[#This Row],[Tipo de Servicio]],CatPEP!A:A,CatPEP!C:C,"")</f>
        <v/>
      </c>
      <c r="G342" t="str">
        <f>_xlfn.XLOOKUP(Table1[[#This Row],[PEP]],CatPEP!C:C,CatPEP!D:D,"")</f>
        <v/>
      </c>
      <c r="O342" s="53">
        <f>SUMIF('Registro Refacciones'!B:B, I342, 'Registro Refacciones'!I:I)</f>
        <v>0</v>
      </c>
      <c r="P342" s="26">
        <f>Table1[[#This Row],[Costo Servicio]]+Table1[[#This Row],[Refacciones]]</f>
        <v>0</v>
      </c>
      <c r="Q342" s="26"/>
    </row>
    <row r="343" spans="1:17">
      <c r="A343" s="37" t="str">
        <f>IF(Table1[[#This Row],[Tipo de Servicio]]="","",Caratula!$D$15)</f>
        <v/>
      </c>
      <c r="B343" s="37" t="str">
        <f>IF(Table1[[#This Row],[Tipo de Servicio]]="","",Caratula!$D$16)</f>
        <v/>
      </c>
      <c r="C343" s="24" t="str">
        <f>IF(Table1[[#This Row],[Tipo de Servicio]]="","",Caratula!$D$17)</f>
        <v/>
      </c>
      <c r="D343" s="38" t="str">
        <f>IF(ISBLANK(Table1[[#This Row],[Tipo de Servicio]]),"",Caratula!$D$16)</f>
        <v/>
      </c>
      <c r="F343" t="str">
        <f>_xlfn.XLOOKUP(Table1[[#This Row],[SelGZ]]&amp;Table1[[#This Row],[Tipo de Servicio]],CatPEP!A:A,CatPEP!C:C,"")</f>
        <v/>
      </c>
      <c r="G343" t="str">
        <f>_xlfn.XLOOKUP(Table1[[#This Row],[PEP]],CatPEP!C:C,CatPEP!D:D,"")</f>
        <v/>
      </c>
      <c r="O343" s="53">
        <f>SUMIF('Registro Refacciones'!B:B, I343, 'Registro Refacciones'!I:I)</f>
        <v>0</v>
      </c>
      <c r="P343" s="26">
        <f>Table1[[#This Row],[Costo Servicio]]+Table1[[#This Row],[Refacciones]]</f>
        <v>0</v>
      </c>
      <c r="Q343" s="26"/>
    </row>
    <row r="344" spans="1:17">
      <c r="A344" s="37" t="str">
        <f>IF(Table1[[#This Row],[Tipo de Servicio]]="","",Caratula!$D$15)</f>
        <v/>
      </c>
      <c r="B344" s="37" t="str">
        <f>IF(Table1[[#This Row],[Tipo de Servicio]]="","",Caratula!$D$16)</f>
        <v/>
      </c>
      <c r="C344" s="24" t="str">
        <f>IF(Table1[[#This Row],[Tipo de Servicio]]="","",Caratula!$D$17)</f>
        <v/>
      </c>
      <c r="D344" s="38" t="str">
        <f>IF(ISBLANK(Table1[[#This Row],[Tipo de Servicio]]),"",Caratula!$D$16)</f>
        <v/>
      </c>
      <c r="F344" t="str">
        <f>_xlfn.XLOOKUP(Table1[[#This Row],[SelGZ]]&amp;Table1[[#This Row],[Tipo de Servicio]],CatPEP!A:A,CatPEP!C:C,"")</f>
        <v/>
      </c>
      <c r="G344" t="str">
        <f>_xlfn.XLOOKUP(Table1[[#This Row],[PEP]],CatPEP!C:C,CatPEP!D:D,"")</f>
        <v/>
      </c>
      <c r="O344" s="53">
        <f>SUMIF('Registro Refacciones'!B:B, I344, 'Registro Refacciones'!I:I)</f>
        <v>0</v>
      </c>
      <c r="P344" s="26">
        <f>Table1[[#This Row],[Costo Servicio]]+Table1[[#This Row],[Refacciones]]</f>
        <v>0</v>
      </c>
      <c r="Q344" s="26"/>
    </row>
    <row r="345" spans="1:17">
      <c r="A345" s="37" t="str">
        <f>IF(Table1[[#This Row],[Tipo de Servicio]]="","",Caratula!$D$15)</f>
        <v/>
      </c>
      <c r="B345" s="37" t="str">
        <f>IF(Table1[[#This Row],[Tipo de Servicio]]="","",Caratula!$D$16)</f>
        <v/>
      </c>
      <c r="C345" s="24" t="str">
        <f>IF(Table1[[#This Row],[Tipo de Servicio]]="","",Caratula!$D$17)</f>
        <v/>
      </c>
      <c r="D345" s="38" t="str">
        <f>IF(ISBLANK(Table1[[#This Row],[Tipo de Servicio]]),"",Caratula!$D$16)</f>
        <v/>
      </c>
      <c r="F345" t="str">
        <f>_xlfn.XLOOKUP(Table1[[#This Row],[SelGZ]]&amp;Table1[[#This Row],[Tipo de Servicio]],CatPEP!A:A,CatPEP!C:C,"")</f>
        <v/>
      </c>
      <c r="G345" t="str">
        <f>_xlfn.XLOOKUP(Table1[[#This Row],[PEP]],CatPEP!C:C,CatPEP!D:D,"")</f>
        <v/>
      </c>
      <c r="O345" s="53">
        <f>SUMIF('Registro Refacciones'!B:B, I345, 'Registro Refacciones'!I:I)</f>
        <v>0</v>
      </c>
      <c r="P345" s="26">
        <f>Table1[[#This Row],[Costo Servicio]]+Table1[[#This Row],[Refacciones]]</f>
        <v>0</v>
      </c>
      <c r="Q345" s="26"/>
    </row>
    <row r="346" spans="1:17">
      <c r="A346" s="37" t="str">
        <f>IF(Table1[[#This Row],[Tipo de Servicio]]="","",Caratula!$D$15)</f>
        <v/>
      </c>
      <c r="B346" s="37" t="str">
        <f>IF(Table1[[#This Row],[Tipo de Servicio]]="","",Caratula!$D$16)</f>
        <v/>
      </c>
      <c r="C346" s="24" t="str">
        <f>IF(Table1[[#This Row],[Tipo de Servicio]]="","",Caratula!$D$17)</f>
        <v/>
      </c>
      <c r="D346" s="38" t="str">
        <f>IF(ISBLANK(Table1[[#This Row],[Tipo de Servicio]]),"",Caratula!$D$16)</f>
        <v/>
      </c>
      <c r="F346" t="str">
        <f>_xlfn.XLOOKUP(Table1[[#This Row],[SelGZ]]&amp;Table1[[#This Row],[Tipo de Servicio]],CatPEP!A:A,CatPEP!C:C,"")</f>
        <v/>
      </c>
      <c r="G346" t="str">
        <f>_xlfn.XLOOKUP(Table1[[#This Row],[PEP]],CatPEP!C:C,CatPEP!D:D,"")</f>
        <v/>
      </c>
      <c r="O346" s="53">
        <f>SUMIF('Registro Refacciones'!B:B, I346, 'Registro Refacciones'!I:I)</f>
        <v>0</v>
      </c>
      <c r="P346" s="26">
        <f>Table1[[#This Row],[Costo Servicio]]+Table1[[#This Row],[Refacciones]]</f>
        <v>0</v>
      </c>
      <c r="Q346" s="26"/>
    </row>
    <row r="347" spans="1:17">
      <c r="A347" s="37" t="str">
        <f>IF(Table1[[#This Row],[Tipo de Servicio]]="","",Caratula!$D$15)</f>
        <v/>
      </c>
      <c r="B347" s="37" t="str">
        <f>IF(Table1[[#This Row],[Tipo de Servicio]]="","",Caratula!$D$16)</f>
        <v/>
      </c>
      <c r="C347" s="24" t="str">
        <f>IF(Table1[[#This Row],[Tipo de Servicio]]="","",Caratula!$D$17)</f>
        <v/>
      </c>
      <c r="D347" s="38" t="str">
        <f>IF(ISBLANK(Table1[[#This Row],[Tipo de Servicio]]),"",Caratula!$D$16)</f>
        <v/>
      </c>
      <c r="F347" t="str">
        <f>_xlfn.XLOOKUP(Table1[[#This Row],[SelGZ]]&amp;Table1[[#This Row],[Tipo de Servicio]],CatPEP!A:A,CatPEP!C:C,"")</f>
        <v/>
      </c>
      <c r="G347" t="str">
        <f>_xlfn.XLOOKUP(Table1[[#This Row],[PEP]],CatPEP!C:C,CatPEP!D:D,"")</f>
        <v/>
      </c>
      <c r="O347" s="53">
        <f>SUMIF('Registro Refacciones'!B:B, I347, 'Registro Refacciones'!I:I)</f>
        <v>0</v>
      </c>
      <c r="P347" s="26">
        <f>Table1[[#This Row],[Costo Servicio]]+Table1[[#This Row],[Refacciones]]</f>
        <v>0</v>
      </c>
      <c r="Q347" s="26"/>
    </row>
    <row r="348" spans="1:17">
      <c r="A348" s="37" t="str">
        <f>IF(Table1[[#This Row],[Tipo de Servicio]]="","",Caratula!$D$15)</f>
        <v/>
      </c>
      <c r="B348" s="37" t="str">
        <f>IF(Table1[[#This Row],[Tipo de Servicio]]="","",Caratula!$D$16)</f>
        <v/>
      </c>
      <c r="C348" s="24" t="str">
        <f>IF(Table1[[#This Row],[Tipo de Servicio]]="","",Caratula!$D$17)</f>
        <v/>
      </c>
      <c r="D348" s="38" t="str">
        <f>IF(ISBLANK(Table1[[#This Row],[Tipo de Servicio]]),"",Caratula!$D$16)</f>
        <v/>
      </c>
      <c r="F348" t="str">
        <f>_xlfn.XLOOKUP(Table1[[#This Row],[SelGZ]]&amp;Table1[[#This Row],[Tipo de Servicio]],CatPEP!A:A,CatPEP!C:C,"")</f>
        <v/>
      </c>
      <c r="G348" t="str">
        <f>_xlfn.XLOOKUP(Table1[[#This Row],[PEP]],CatPEP!C:C,CatPEP!D:D,"")</f>
        <v/>
      </c>
      <c r="O348" s="53">
        <f>SUMIF('Registro Refacciones'!B:B, I348, 'Registro Refacciones'!I:I)</f>
        <v>0</v>
      </c>
      <c r="P348" s="26">
        <f>Table1[[#This Row],[Costo Servicio]]+Table1[[#This Row],[Refacciones]]</f>
        <v>0</v>
      </c>
      <c r="Q348" s="26"/>
    </row>
    <row r="349" spans="1:17">
      <c r="A349" s="37" t="str">
        <f>IF(Table1[[#This Row],[Tipo de Servicio]]="","",Caratula!$D$15)</f>
        <v/>
      </c>
      <c r="B349" s="37" t="str">
        <f>IF(Table1[[#This Row],[Tipo de Servicio]]="","",Caratula!$D$16)</f>
        <v/>
      </c>
      <c r="C349" s="24" t="str">
        <f>IF(Table1[[#This Row],[Tipo de Servicio]]="","",Caratula!$D$17)</f>
        <v/>
      </c>
      <c r="D349" s="38" t="str">
        <f>IF(ISBLANK(Table1[[#This Row],[Tipo de Servicio]]),"",Caratula!$D$16)</f>
        <v/>
      </c>
      <c r="F349" t="str">
        <f>_xlfn.XLOOKUP(Table1[[#This Row],[SelGZ]]&amp;Table1[[#This Row],[Tipo de Servicio]],CatPEP!A:A,CatPEP!C:C,"")</f>
        <v/>
      </c>
      <c r="G349" t="str">
        <f>_xlfn.XLOOKUP(Table1[[#This Row],[PEP]],CatPEP!C:C,CatPEP!D:D,"")</f>
        <v/>
      </c>
      <c r="O349" s="53">
        <f>SUMIF('Registro Refacciones'!B:B, I349, 'Registro Refacciones'!I:I)</f>
        <v>0</v>
      </c>
      <c r="P349" s="26">
        <f>Table1[[#This Row],[Costo Servicio]]+Table1[[#This Row],[Refacciones]]</f>
        <v>0</v>
      </c>
      <c r="Q349" s="26"/>
    </row>
    <row r="350" spans="1:17">
      <c r="A350" s="37" t="str">
        <f>IF(Table1[[#This Row],[Tipo de Servicio]]="","",Caratula!$D$15)</f>
        <v/>
      </c>
      <c r="B350" s="37" t="str">
        <f>IF(Table1[[#This Row],[Tipo de Servicio]]="","",Caratula!$D$16)</f>
        <v/>
      </c>
      <c r="C350" s="24" t="str">
        <f>IF(Table1[[#This Row],[Tipo de Servicio]]="","",Caratula!$D$17)</f>
        <v/>
      </c>
      <c r="D350" s="38" t="str">
        <f>IF(ISBLANK(Table1[[#This Row],[Tipo de Servicio]]),"",Caratula!$D$16)</f>
        <v/>
      </c>
      <c r="F350" t="str">
        <f>_xlfn.XLOOKUP(Table1[[#This Row],[SelGZ]]&amp;Table1[[#This Row],[Tipo de Servicio]],CatPEP!A:A,CatPEP!C:C,"")</f>
        <v/>
      </c>
      <c r="G350" t="str">
        <f>_xlfn.XLOOKUP(Table1[[#This Row],[PEP]],CatPEP!C:C,CatPEP!D:D,"")</f>
        <v/>
      </c>
      <c r="O350" s="53">
        <f>SUMIF('Registro Refacciones'!B:B, I350, 'Registro Refacciones'!I:I)</f>
        <v>0</v>
      </c>
      <c r="P350" s="26">
        <f>Table1[[#This Row],[Costo Servicio]]+Table1[[#This Row],[Refacciones]]</f>
        <v>0</v>
      </c>
      <c r="Q350" s="26"/>
    </row>
    <row r="351" spans="1:17">
      <c r="A351" s="37" t="str">
        <f>IF(Table1[[#This Row],[Tipo de Servicio]]="","",Caratula!$D$15)</f>
        <v/>
      </c>
      <c r="B351" s="37" t="str">
        <f>IF(Table1[[#This Row],[Tipo de Servicio]]="","",Caratula!$D$16)</f>
        <v/>
      </c>
      <c r="C351" s="24" t="str">
        <f>IF(Table1[[#This Row],[Tipo de Servicio]]="","",Caratula!$D$17)</f>
        <v/>
      </c>
      <c r="D351" s="38" t="str">
        <f>IF(ISBLANK(Table1[[#This Row],[Tipo de Servicio]]),"",Caratula!$D$16)</f>
        <v/>
      </c>
      <c r="F351" t="str">
        <f>_xlfn.XLOOKUP(Table1[[#This Row],[SelGZ]]&amp;Table1[[#This Row],[Tipo de Servicio]],CatPEP!A:A,CatPEP!C:C,"")</f>
        <v/>
      </c>
      <c r="G351" t="str">
        <f>_xlfn.XLOOKUP(Table1[[#This Row],[PEP]],CatPEP!C:C,CatPEP!D:D,"")</f>
        <v/>
      </c>
      <c r="O351" s="53">
        <f>SUMIF('Registro Refacciones'!B:B, I351, 'Registro Refacciones'!I:I)</f>
        <v>0</v>
      </c>
      <c r="P351" s="26">
        <f>Table1[[#This Row],[Costo Servicio]]+Table1[[#This Row],[Refacciones]]</f>
        <v>0</v>
      </c>
      <c r="Q351" s="26"/>
    </row>
    <row r="352" spans="1:17">
      <c r="A352" s="37" t="str">
        <f>IF(Table1[[#This Row],[Tipo de Servicio]]="","",Caratula!$D$15)</f>
        <v/>
      </c>
      <c r="B352" s="37" t="str">
        <f>IF(Table1[[#This Row],[Tipo de Servicio]]="","",Caratula!$D$16)</f>
        <v/>
      </c>
      <c r="C352" s="24" t="str">
        <f>IF(Table1[[#This Row],[Tipo de Servicio]]="","",Caratula!$D$17)</f>
        <v/>
      </c>
      <c r="D352" s="38" t="str">
        <f>IF(ISBLANK(Table1[[#This Row],[Tipo de Servicio]]),"",Caratula!$D$16)</f>
        <v/>
      </c>
      <c r="F352" t="str">
        <f>_xlfn.XLOOKUP(Table1[[#This Row],[SelGZ]]&amp;Table1[[#This Row],[Tipo de Servicio]],CatPEP!A:A,CatPEP!C:C,"")</f>
        <v/>
      </c>
      <c r="G352" t="str">
        <f>_xlfn.XLOOKUP(Table1[[#This Row],[PEP]],CatPEP!C:C,CatPEP!D:D,"")</f>
        <v/>
      </c>
      <c r="O352" s="53">
        <f>SUMIF('Registro Refacciones'!B:B, I352, 'Registro Refacciones'!I:I)</f>
        <v>0</v>
      </c>
      <c r="P352" s="26">
        <f>Table1[[#This Row],[Costo Servicio]]+Table1[[#This Row],[Refacciones]]</f>
        <v>0</v>
      </c>
      <c r="Q352" s="26"/>
    </row>
    <row r="353" spans="1:17">
      <c r="A353" s="37" t="str">
        <f>IF(Table1[[#This Row],[Tipo de Servicio]]="","",Caratula!$D$15)</f>
        <v/>
      </c>
      <c r="B353" s="37" t="str">
        <f>IF(Table1[[#This Row],[Tipo de Servicio]]="","",Caratula!$D$16)</f>
        <v/>
      </c>
      <c r="C353" s="24" t="str">
        <f>IF(Table1[[#This Row],[Tipo de Servicio]]="","",Caratula!$D$17)</f>
        <v/>
      </c>
      <c r="D353" s="38" t="str">
        <f>IF(ISBLANK(Table1[[#This Row],[Tipo de Servicio]]),"",Caratula!$D$16)</f>
        <v/>
      </c>
      <c r="F353" t="str">
        <f>_xlfn.XLOOKUP(Table1[[#This Row],[SelGZ]]&amp;Table1[[#This Row],[Tipo de Servicio]],CatPEP!A:A,CatPEP!C:C,"")</f>
        <v/>
      </c>
      <c r="G353" t="str">
        <f>_xlfn.XLOOKUP(Table1[[#This Row],[PEP]],CatPEP!C:C,CatPEP!D:D,"")</f>
        <v/>
      </c>
      <c r="O353" s="53">
        <f>SUMIF('Registro Refacciones'!B:B, I353, 'Registro Refacciones'!I:I)</f>
        <v>0</v>
      </c>
      <c r="P353" s="26">
        <f>Table1[[#This Row],[Costo Servicio]]+Table1[[#This Row],[Refacciones]]</f>
        <v>0</v>
      </c>
      <c r="Q353" s="26"/>
    </row>
    <row r="354" spans="1:17">
      <c r="A354" s="37" t="str">
        <f>IF(Table1[[#This Row],[Tipo de Servicio]]="","",Caratula!$D$15)</f>
        <v/>
      </c>
      <c r="B354" s="37" t="str">
        <f>IF(Table1[[#This Row],[Tipo de Servicio]]="","",Caratula!$D$16)</f>
        <v/>
      </c>
      <c r="C354" s="24" t="str">
        <f>IF(Table1[[#This Row],[Tipo de Servicio]]="","",Caratula!$D$17)</f>
        <v/>
      </c>
      <c r="D354" s="38" t="str">
        <f>IF(ISBLANK(Table1[[#This Row],[Tipo de Servicio]]),"",Caratula!$D$16)</f>
        <v/>
      </c>
      <c r="F354" t="str">
        <f>_xlfn.XLOOKUP(Table1[[#This Row],[SelGZ]]&amp;Table1[[#This Row],[Tipo de Servicio]],CatPEP!A:A,CatPEP!C:C,"")</f>
        <v/>
      </c>
      <c r="G354" t="str">
        <f>_xlfn.XLOOKUP(Table1[[#This Row],[PEP]],CatPEP!C:C,CatPEP!D:D,"")</f>
        <v/>
      </c>
      <c r="O354" s="53">
        <f>SUMIF('Registro Refacciones'!B:B, I354, 'Registro Refacciones'!I:I)</f>
        <v>0</v>
      </c>
      <c r="P354" s="26">
        <f>Table1[[#This Row],[Costo Servicio]]+Table1[[#This Row],[Refacciones]]</f>
        <v>0</v>
      </c>
      <c r="Q354" s="26"/>
    </row>
    <row r="355" spans="1:17">
      <c r="A355" s="37" t="str">
        <f>IF(Table1[[#This Row],[Tipo de Servicio]]="","",Caratula!$D$15)</f>
        <v/>
      </c>
      <c r="B355" s="37" t="str">
        <f>IF(Table1[[#This Row],[Tipo de Servicio]]="","",Caratula!$D$16)</f>
        <v/>
      </c>
      <c r="C355" s="24" t="str">
        <f>IF(Table1[[#This Row],[Tipo de Servicio]]="","",Caratula!$D$17)</f>
        <v/>
      </c>
      <c r="D355" s="38" t="str">
        <f>IF(ISBLANK(Table1[[#This Row],[Tipo de Servicio]]),"",Caratula!$D$16)</f>
        <v/>
      </c>
      <c r="F355" t="str">
        <f>_xlfn.XLOOKUP(Table1[[#This Row],[SelGZ]]&amp;Table1[[#This Row],[Tipo de Servicio]],CatPEP!A:A,CatPEP!C:C,"")</f>
        <v/>
      </c>
      <c r="G355" t="str">
        <f>_xlfn.XLOOKUP(Table1[[#This Row],[PEP]],CatPEP!C:C,CatPEP!D:D,"")</f>
        <v/>
      </c>
      <c r="O355" s="53">
        <f>SUMIF('Registro Refacciones'!B:B, I355, 'Registro Refacciones'!I:I)</f>
        <v>0</v>
      </c>
      <c r="P355" s="26">
        <f>Table1[[#This Row],[Costo Servicio]]+Table1[[#This Row],[Refacciones]]</f>
        <v>0</v>
      </c>
      <c r="Q355" s="26"/>
    </row>
    <row r="356" spans="1:17">
      <c r="A356" s="37" t="str">
        <f>IF(Table1[[#This Row],[Tipo de Servicio]]="","",Caratula!$D$15)</f>
        <v/>
      </c>
      <c r="B356" s="37" t="str">
        <f>IF(Table1[[#This Row],[Tipo de Servicio]]="","",Caratula!$D$16)</f>
        <v/>
      </c>
      <c r="C356" s="24" t="str">
        <f>IF(Table1[[#This Row],[Tipo de Servicio]]="","",Caratula!$D$17)</f>
        <v/>
      </c>
      <c r="D356" s="38" t="str">
        <f>IF(ISBLANK(Table1[[#This Row],[Tipo de Servicio]]),"",Caratula!$D$16)</f>
        <v/>
      </c>
      <c r="F356" t="str">
        <f>_xlfn.XLOOKUP(Table1[[#This Row],[SelGZ]]&amp;Table1[[#This Row],[Tipo de Servicio]],CatPEP!A:A,CatPEP!C:C,"")</f>
        <v/>
      </c>
      <c r="G356" t="str">
        <f>_xlfn.XLOOKUP(Table1[[#This Row],[PEP]],CatPEP!C:C,CatPEP!D:D,"")</f>
        <v/>
      </c>
      <c r="O356" s="53">
        <f>SUMIF('Registro Refacciones'!B:B, I356, 'Registro Refacciones'!I:I)</f>
        <v>0</v>
      </c>
      <c r="P356" s="26">
        <f>Table1[[#This Row],[Costo Servicio]]+Table1[[#This Row],[Refacciones]]</f>
        <v>0</v>
      </c>
      <c r="Q356" s="26"/>
    </row>
    <row r="357" spans="1:17">
      <c r="A357" s="37" t="str">
        <f>IF(Table1[[#This Row],[Tipo de Servicio]]="","",Caratula!$D$15)</f>
        <v/>
      </c>
      <c r="B357" s="37" t="str">
        <f>IF(Table1[[#This Row],[Tipo de Servicio]]="","",Caratula!$D$16)</f>
        <v/>
      </c>
      <c r="C357" s="24" t="str">
        <f>IF(Table1[[#This Row],[Tipo de Servicio]]="","",Caratula!$D$17)</f>
        <v/>
      </c>
      <c r="D357" s="38" t="str">
        <f>IF(ISBLANK(Table1[[#This Row],[Tipo de Servicio]]),"",Caratula!$D$16)</f>
        <v/>
      </c>
      <c r="F357" t="str">
        <f>_xlfn.XLOOKUP(Table1[[#This Row],[SelGZ]]&amp;Table1[[#This Row],[Tipo de Servicio]],CatPEP!A:A,CatPEP!C:C,"")</f>
        <v/>
      </c>
      <c r="G357" t="str">
        <f>_xlfn.XLOOKUP(Table1[[#This Row],[PEP]],CatPEP!C:C,CatPEP!D:D,"")</f>
        <v/>
      </c>
      <c r="O357" s="53">
        <f>SUMIF('Registro Refacciones'!B:B, I357, 'Registro Refacciones'!I:I)</f>
        <v>0</v>
      </c>
      <c r="P357" s="26">
        <f>Table1[[#This Row],[Costo Servicio]]+Table1[[#This Row],[Refacciones]]</f>
        <v>0</v>
      </c>
      <c r="Q357" s="26"/>
    </row>
    <row r="358" spans="1:17">
      <c r="A358" s="37" t="str">
        <f>IF(Table1[[#This Row],[Tipo de Servicio]]="","",Caratula!$D$15)</f>
        <v/>
      </c>
      <c r="B358" s="37" t="str">
        <f>IF(Table1[[#This Row],[Tipo de Servicio]]="","",Caratula!$D$16)</f>
        <v/>
      </c>
      <c r="C358" s="24" t="str">
        <f>IF(Table1[[#This Row],[Tipo de Servicio]]="","",Caratula!$D$17)</f>
        <v/>
      </c>
      <c r="D358" s="38" t="str">
        <f>IF(ISBLANK(Table1[[#This Row],[Tipo de Servicio]]),"",Caratula!$D$16)</f>
        <v/>
      </c>
      <c r="F358" t="str">
        <f>_xlfn.XLOOKUP(Table1[[#This Row],[SelGZ]]&amp;Table1[[#This Row],[Tipo de Servicio]],CatPEP!A:A,CatPEP!C:C,"")</f>
        <v/>
      </c>
      <c r="G358" t="str">
        <f>_xlfn.XLOOKUP(Table1[[#This Row],[PEP]],CatPEP!C:C,CatPEP!D:D,"")</f>
        <v/>
      </c>
      <c r="O358" s="53">
        <f>SUMIF('Registro Refacciones'!B:B, I358, 'Registro Refacciones'!I:I)</f>
        <v>0</v>
      </c>
      <c r="P358" s="26">
        <f>Table1[[#This Row],[Costo Servicio]]+Table1[[#This Row],[Refacciones]]</f>
        <v>0</v>
      </c>
      <c r="Q358" s="26"/>
    </row>
    <row r="359" spans="1:17">
      <c r="A359" s="37" t="str">
        <f>IF(Table1[[#This Row],[Tipo de Servicio]]="","",Caratula!$D$15)</f>
        <v/>
      </c>
      <c r="B359" s="37" t="str">
        <f>IF(Table1[[#This Row],[Tipo de Servicio]]="","",Caratula!$D$16)</f>
        <v/>
      </c>
      <c r="C359" s="24" t="str">
        <f>IF(Table1[[#This Row],[Tipo de Servicio]]="","",Caratula!$D$17)</f>
        <v/>
      </c>
      <c r="D359" s="38" t="str">
        <f>IF(ISBLANK(Table1[[#This Row],[Tipo de Servicio]]),"",Caratula!$D$16)</f>
        <v/>
      </c>
      <c r="F359" t="str">
        <f>_xlfn.XLOOKUP(Table1[[#This Row],[SelGZ]]&amp;Table1[[#This Row],[Tipo de Servicio]],CatPEP!A:A,CatPEP!C:C,"")</f>
        <v/>
      </c>
      <c r="G359" t="str">
        <f>_xlfn.XLOOKUP(Table1[[#This Row],[PEP]],CatPEP!C:C,CatPEP!D:D,"")</f>
        <v/>
      </c>
      <c r="O359" s="53">
        <f>SUMIF('Registro Refacciones'!B:B, I359, 'Registro Refacciones'!I:I)</f>
        <v>0</v>
      </c>
      <c r="P359" s="26">
        <f>Table1[[#This Row],[Costo Servicio]]+Table1[[#This Row],[Refacciones]]</f>
        <v>0</v>
      </c>
      <c r="Q359" s="26"/>
    </row>
    <row r="360" spans="1:17">
      <c r="A360" s="37" t="str">
        <f>IF(Table1[[#This Row],[Tipo de Servicio]]="","",Caratula!$D$15)</f>
        <v/>
      </c>
      <c r="B360" s="37" t="str">
        <f>IF(Table1[[#This Row],[Tipo de Servicio]]="","",Caratula!$D$16)</f>
        <v/>
      </c>
      <c r="C360" s="24" t="str">
        <f>IF(Table1[[#This Row],[Tipo de Servicio]]="","",Caratula!$D$17)</f>
        <v/>
      </c>
      <c r="D360" s="38" t="str">
        <f>IF(ISBLANK(Table1[[#This Row],[Tipo de Servicio]]),"",Caratula!$D$16)</f>
        <v/>
      </c>
      <c r="F360" t="str">
        <f>_xlfn.XLOOKUP(Table1[[#This Row],[SelGZ]]&amp;Table1[[#This Row],[Tipo de Servicio]],CatPEP!A:A,CatPEP!C:C,"")</f>
        <v/>
      </c>
      <c r="G360" t="str">
        <f>_xlfn.XLOOKUP(Table1[[#This Row],[PEP]],CatPEP!C:C,CatPEP!D:D,"")</f>
        <v/>
      </c>
      <c r="O360" s="53">
        <f>SUMIF('Registro Refacciones'!B:B, I360, 'Registro Refacciones'!I:I)</f>
        <v>0</v>
      </c>
      <c r="P360" s="26">
        <f>Table1[[#This Row],[Costo Servicio]]+Table1[[#This Row],[Refacciones]]</f>
        <v>0</v>
      </c>
      <c r="Q360" s="26"/>
    </row>
    <row r="361" spans="1:17">
      <c r="A361" s="37" t="str">
        <f>IF(Table1[[#This Row],[Tipo de Servicio]]="","",Caratula!$D$15)</f>
        <v/>
      </c>
      <c r="B361" s="37" t="str">
        <f>IF(Table1[[#This Row],[Tipo de Servicio]]="","",Caratula!$D$16)</f>
        <v/>
      </c>
      <c r="C361" s="24" t="str">
        <f>IF(Table1[[#This Row],[Tipo de Servicio]]="","",Caratula!$D$17)</f>
        <v/>
      </c>
      <c r="D361" s="38" t="str">
        <f>IF(ISBLANK(Table1[[#This Row],[Tipo de Servicio]]),"",Caratula!$D$16)</f>
        <v/>
      </c>
      <c r="F361" t="str">
        <f>_xlfn.XLOOKUP(Table1[[#This Row],[SelGZ]]&amp;Table1[[#This Row],[Tipo de Servicio]],CatPEP!A:A,CatPEP!C:C,"")</f>
        <v/>
      </c>
      <c r="G361" t="str">
        <f>_xlfn.XLOOKUP(Table1[[#This Row],[PEP]],CatPEP!C:C,CatPEP!D:D,"")</f>
        <v/>
      </c>
      <c r="O361" s="53">
        <f>SUMIF('Registro Refacciones'!B:B, I361, 'Registro Refacciones'!I:I)</f>
        <v>0</v>
      </c>
      <c r="P361" s="26">
        <f>Table1[[#This Row],[Costo Servicio]]+Table1[[#This Row],[Refacciones]]</f>
        <v>0</v>
      </c>
      <c r="Q361" s="26"/>
    </row>
    <row r="362" spans="1:17">
      <c r="A362" s="37" t="str">
        <f>IF(Table1[[#This Row],[Tipo de Servicio]]="","",Caratula!$D$15)</f>
        <v/>
      </c>
      <c r="B362" s="37" t="str">
        <f>IF(Table1[[#This Row],[Tipo de Servicio]]="","",Caratula!$D$16)</f>
        <v/>
      </c>
      <c r="C362" s="24" t="str">
        <f>IF(Table1[[#This Row],[Tipo de Servicio]]="","",Caratula!$D$17)</f>
        <v/>
      </c>
      <c r="D362" s="38" t="str">
        <f>IF(ISBLANK(Table1[[#This Row],[Tipo de Servicio]]),"",Caratula!$D$16)</f>
        <v/>
      </c>
      <c r="F362" t="str">
        <f>_xlfn.XLOOKUP(Table1[[#This Row],[SelGZ]]&amp;Table1[[#This Row],[Tipo de Servicio]],CatPEP!A:A,CatPEP!C:C,"")</f>
        <v/>
      </c>
      <c r="G362" t="str">
        <f>_xlfn.XLOOKUP(Table1[[#This Row],[PEP]],CatPEP!C:C,CatPEP!D:D,"")</f>
        <v/>
      </c>
      <c r="O362" s="53">
        <f>SUMIF('Registro Refacciones'!B:B, I362, 'Registro Refacciones'!I:I)</f>
        <v>0</v>
      </c>
      <c r="P362" s="26">
        <f>Table1[[#This Row],[Costo Servicio]]+Table1[[#This Row],[Refacciones]]</f>
        <v>0</v>
      </c>
      <c r="Q362" s="26"/>
    </row>
    <row r="363" spans="1:17">
      <c r="A363" s="37" t="str">
        <f>IF(Table1[[#This Row],[Tipo de Servicio]]="","",Caratula!$D$15)</f>
        <v/>
      </c>
      <c r="B363" s="37" t="str">
        <f>IF(Table1[[#This Row],[Tipo de Servicio]]="","",Caratula!$D$16)</f>
        <v/>
      </c>
      <c r="C363" s="24" t="str">
        <f>IF(Table1[[#This Row],[Tipo de Servicio]]="","",Caratula!$D$17)</f>
        <v/>
      </c>
      <c r="D363" s="38" t="str">
        <f>IF(ISBLANK(Table1[[#This Row],[Tipo de Servicio]]),"",Caratula!$D$16)</f>
        <v/>
      </c>
      <c r="F363" t="str">
        <f>_xlfn.XLOOKUP(Table1[[#This Row],[SelGZ]]&amp;Table1[[#This Row],[Tipo de Servicio]],CatPEP!A:A,CatPEP!C:C,"")</f>
        <v/>
      </c>
      <c r="G363" t="str">
        <f>_xlfn.XLOOKUP(Table1[[#This Row],[PEP]],CatPEP!C:C,CatPEP!D:D,"")</f>
        <v/>
      </c>
      <c r="O363" s="53">
        <f>SUMIF('Registro Refacciones'!B:B, I363, 'Registro Refacciones'!I:I)</f>
        <v>0</v>
      </c>
      <c r="P363" s="26">
        <f>Table1[[#This Row],[Costo Servicio]]+Table1[[#This Row],[Refacciones]]</f>
        <v>0</v>
      </c>
      <c r="Q363" s="26"/>
    </row>
    <row r="364" spans="1:17">
      <c r="A364" s="37" t="str">
        <f>IF(Table1[[#This Row],[Tipo de Servicio]]="","",Caratula!$D$15)</f>
        <v/>
      </c>
      <c r="B364" s="37" t="str">
        <f>IF(Table1[[#This Row],[Tipo de Servicio]]="","",Caratula!$D$16)</f>
        <v/>
      </c>
      <c r="C364" s="24" t="str">
        <f>IF(Table1[[#This Row],[Tipo de Servicio]]="","",Caratula!$D$17)</f>
        <v/>
      </c>
      <c r="D364" s="38" t="str">
        <f>IF(ISBLANK(Table1[[#This Row],[Tipo de Servicio]]),"",Caratula!$D$16)</f>
        <v/>
      </c>
      <c r="F364" t="str">
        <f>_xlfn.XLOOKUP(Table1[[#This Row],[SelGZ]]&amp;Table1[[#This Row],[Tipo de Servicio]],CatPEP!A:A,CatPEP!C:C,"")</f>
        <v/>
      </c>
      <c r="G364" t="str">
        <f>_xlfn.XLOOKUP(Table1[[#This Row],[PEP]],CatPEP!C:C,CatPEP!D:D,"")</f>
        <v/>
      </c>
      <c r="O364" s="53">
        <f>SUMIF('Registro Refacciones'!B:B, I364, 'Registro Refacciones'!I:I)</f>
        <v>0</v>
      </c>
      <c r="P364" s="26">
        <f>Table1[[#This Row],[Costo Servicio]]+Table1[[#This Row],[Refacciones]]</f>
        <v>0</v>
      </c>
      <c r="Q364" s="26"/>
    </row>
    <row r="365" spans="1:17">
      <c r="A365" s="37" t="str">
        <f>IF(Table1[[#This Row],[Tipo de Servicio]]="","",Caratula!$D$15)</f>
        <v/>
      </c>
      <c r="B365" s="37" t="str">
        <f>IF(Table1[[#This Row],[Tipo de Servicio]]="","",Caratula!$D$16)</f>
        <v/>
      </c>
      <c r="C365" s="24" t="str">
        <f>IF(Table1[[#This Row],[Tipo de Servicio]]="","",Caratula!$D$17)</f>
        <v/>
      </c>
      <c r="D365" s="38" t="str">
        <f>IF(ISBLANK(Table1[[#This Row],[Tipo de Servicio]]),"",Caratula!$D$16)</f>
        <v/>
      </c>
      <c r="F365" t="str">
        <f>_xlfn.XLOOKUP(Table1[[#This Row],[SelGZ]]&amp;Table1[[#This Row],[Tipo de Servicio]],CatPEP!A:A,CatPEP!C:C,"")</f>
        <v/>
      </c>
      <c r="G365" t="str">
        <f>_xlfn.XLOOKUP(Table1[[#This Row],[PEP]],CatPEP!C:C,CatPEP!D:D,"")</f>
        <v/>
      </c>
      <c r="O365" s="53">
        <f>SUMIF('Registro Refacciones'!B:B, I365, 'Registro Refacciones'!I:I)</f>
        <v>0</v>
      </c>
      <c r="P365" s="26">
        <f>Table1[[#This Row],[Costo Servicio]]+Table1[[#This Row],[Refacciones]]</f>
        <v>0</v>
      </c>
      <c r="Q365" s="26"/>
    </row>
    <row r="366" spans="1:17">
      <c r="A366" s="37" t="str">
        <f>IF(Table1[[#This Row],[Tipo de Servicio]]="","",Caratula!$D$15)</f>
        <v/>
      </c>
      <c r="B366" s="37" t="str">
        <f>IF(Table1[[#This Row],[Tipo de Servicio]]="","",Caratula!$D$16)</f>
        <v/>
      </c>
      <c r="C366" s="24" t="str">
        <f>IF(Table1[[#This Row],[Tipo de Servicio]]="","",Caratula!$D$17)</f>
        <v/>
      </c>
      <c r="D366" s="38" t="str">
        <f>IF(ISBLANK(Table1[[#This Row],[Tipo de Servicio]]),"",Caratula!$D$16)</f>
        <v/>
      </c>
      <c r="F366" t="str">
        <f>_xlfn.XLOOKUP(Table1[[#This Row],[SelGZ]]&amp;Table1[[#This Row],[Tipo de Servicio]],CatPEP!A:A,CatPEP!C:C,"")</f>
        <v/>
      </c>
      <c r="G366" t="str">
        <f>_xlfn.XLOOKUP(Table1[[#This Row],[PEP]],CatPEP!C:C,CatPEP!D:D,"")</f>
        <v/>
      </c>
      <c r="O366" s="53">
        <f>SUMIF('Registro Refacciones'!B:B, I366, 'Registro Refacciones'!I:I)</f>
        <v>0</v>
      </c>
      <c r="P366" s="26">
        <f>Table1[[#This Row],[Costo Servicio]]+Table1[[#This Row],[Refacciones]]</f>
        <v>0</v>
      </c>
      <c r="Q366" s="26"/>
    </row>
    <row r="367" spans="1:17">
      <c r="A367" s="37" t="str">
        <f>IF(Table1[[#This Row],[Tipo de Servicio]]="","",Caratula!$D$15)</f>
        <v/>
      </c>
      <c r="B367" s="37" t="str">
        <f>IF(Table1[[#This Row],[Tipo de Servicio]]="","",Caratula!$D$16)</f>
        <v/>
      </c>
      <c r="C367" s="24" t="str">
        <f>IF(Table1[[#This Row],[Tipo de Servicio]]="","",Caratula!$D$17)</f>
        <v/>
      </c>
      <c r="D367" s="38" t="str">
        <f>IF(ISBLANK(Table1[[#This Row],[Tipo de Servicio]]),"",Caratula!$D$16)</f>
        <v/>
      </c>
      <c r="F367" t="str">
        <f>_xlfn.XLOOKUP(Table1[[#This Row],[SelGZ]]&amp;Table1[[#This Row],[Tipo de Servicio]],CatPEP!A:A,CatPEP!C:C,"")</f>
        <v/>
      </c>
      <c r="G367" t="str">
        <f>_xlfn.XLOOKUP(Table1[[#This Row],[PEP]],CatPEP!C:C,CatPEP!D:D,"")</f>
        <v/>
      </c>
      <c r="O367" s="53">
        <f>SUMIF('Registro Refacciones'!B:B, I367, 'Registro Refacciones'!I:I)</f>
        <v>0</v>
      </c>
      <c r="P367" s="26">
        <f>Table1[[#This Row],[Costo Servicio]]+Table1[[#This Row],[Refacciones]]</f>
        <v>0</v>
      </c>
      <c r="Q367" s="26"/>
    </row>
    <row r="368" spans="1:17">
      <c r="A368" s="37" t="str">
        <f>IF(Table1[[#This Row],[Tipo de Servicio]]="","",Caratula!$D$15)</f>
        <v/>
      </c>
      <c r="B368" s="37" t="str">
        <f>IF(Table1[[#This Row],[Tipo de Servicio]]="","",Caratula!$D$16)</f>
        <v/>
      </c>
      <c r="C368" s="24" t="str">
        <f>IF(Table1[[#This Row],[Tipo de Servicio]]="","",Caratula!$D$17)</f>
        <v/>
      </c>
      <c r="D368" s="38" t="str">
        <f>IF(ISBLANK(Table1[[#This Row],[Tipo de Servicio]]),"",Caratula!$D$16)</f>
        <v/>
      </c>
      <c r="F368" t="str">
        <f>_xlfn.XLOOKUP(Table1[[#This Row],[SelGZ]]&amp;Table1[[#This Row],[Tipo de Servicio]],CatPEP!A:A,CatPEP!C:C,"")</f>
        <v/>
      </c>
      <c r="G368" t="str">
        <f>_xlfn.XLOOKUP(Table1[[#This Row],[PEP]],CatPEP!C:C,CatPEP!D:D,"")</f>
        <v/>
      </c>
      <c r="O368" s="53">
        <f>SUMIF('Registro Refacciones'!B:B, I368, 'Registro Refacciones'!I:I)</f>
        <v>0</v>
      </c>
      <c r="P368" s="26">
        <f>Table1[[#This Row],[Costo Servicio]]+Table1[[#This Row],[Refacciones]]</f>
        <v>0</v>
      </c>
      <c r="Q368" s="26"/>
    </row>
    <row r="369" spans="1:17">
      <c r="A369" s="37" t="str">
        <f>IF(Table1[[#This Row],[Tipo de Servicio]]="","",Caratula!$D$15)</f>
        <v/>
      </c>
      <c r="B369" s="37" t="str">
        <f>IF(Table1[[#This Row],[Tipo de Servicio]]="","",Caratula!$D$16)</f>
        <v/>
      </c>
      <c r="C369" s="24" t="str">
        <f>IF(Table1[[#This Row],[Tipo de Servicio]]="","",Caratula!$D$17)</f>
        <v/>
      </c>
      <c r="D369" s="38" t="str">
        <f>IF(ISBLANK(Table1[[#This Row],[Tipo de Servicio]]),"",Caratula!$D$16)</f>
        <v/>
      </c>
      <c r="F369" t="str">
        <f>_xlfn.XLOOKUP(Table1[[#This Row],[SelGZ]]&amp;Table1[[#This Row],[Tipo de Servicio]],CatPEP!A:A,CatPEP!C:C,"")</f>
        <v/>
      </c>
      <c r="G369" t="str">
        <f>_xlfn.XLOOKUP(Table1[[#This Row],[PEP]],CatPEP!C:C,CatPEP!D:D,"")</f>
        <v/>
      </c>
      <c r="O369" s="53">
        <f>SUMIF('Registro Refacciones'!B:B, I369, 'Registro Refacciones'!I:I)</f>
        <v>0</v>
      </c>
      <c r="P369" s="26">
        <f>Table1[[#This Row],[Costo Servicio]]+Table1[[#This Row],[Refacciones]]</f>
        <v>0</v>
      </c>
      <c r="Q369" s="26"/>
    </row>
    <row r="370" spans="1:17">
      <c r="A370" s="37" t="str">
        <f>IF(Table1[[#This Row],[Tipo de Servicio]]="","",Caratula!$D$15)</f>
        <v/>
      </c>
      <c r="B370" s="37" t="str">
        <f>IF(Table1[[#This Row],[Tipo de Servicio]]="","",Caratula!$D$16)</f>
        <v/>
      </c>
      <c r="C370" s="24" t="str">
        <f>IF(Table1[[#This Row],[Tipo de Servicio]]="","",Caratula!$D$17)</f>
        <v/>
      </c>
      <c r="D370" s="38" t="str">
        <f>IF(ISBLANK(Table1[[#This Row],[Tipo de Servicio]]),"",Caratula!$D$16)</f>
        <v/>
      </c>
      <c r="F370" t="str">
        <f>_xlfn.XLOOKUP(Table1[[#This Row],[SelGZ]]&amp;Table1[[#This Row],[Tipo de Servicio]],CatPEP!A:A,CatPEP!C:C,"")</f>
        <v/>
      </c>
      <c r="G370" t="str">
        <f>_xlfn.XLOOKUP(Table1[[#This Row],[PEP]],CatPEP!C:C,CatPEP!D:D,"")</f>
        <v/>
      </c>
      <c r="O370" s="53">
        <f>SUMIF('Registro Refacciones'!B:B, I370, 'Registro Refacciones'!I:I)</f>
        <v>0</v>
      </c>
      <c r="P370" s="26">
        <f>Table1[[#This Row],[Costo Servicio]]+Table1[[#This Row],[Refacciones]]</f>
        <v>0</v>
      </c>
      <c r="Q370" s="26"/>
    </row>
    <row r="371" spans="1:17">
      <c r="A371" s="37" t="str">
        <f>IF(Table1[[#This Row],[Tipo de Servicio]]="","",Caratula!$D$15)</f>
        <v/>
      </c>
      <c r="B371" s="37" t="str">
        <f>IF(Table1[[#This Row],[Tipo de Servicio]]="","",Caratula!$D$16)</f>
        <v/>
      </c>
      <c r="C371" s="24" t="str">
        <f>IF(Table1[[#This Row],[Tipo de Servicio]]="","",Caratula!$D$17)</f>
        <v/>
      </c>
      <c r="D371" s="38" t="str">
        <f>IF(ISBLANK(Table1[[#This Row],[Tipo de Servicio]]),"",Caratula!$D$16)</f>
        <v/>
      </c>
      <c r="F371" t="str">
        <f>_xlfn.XLOOKUP(Table1[[#This Row],[SelGZ]]&amp;Table1[[#This Row],[Tipo de Servicio]],CatPEP!A:A,CatPEP!C:C,"")</f>
        <v/>
      </c>
      <c r="G371" t="str">
        <f>_xlfn.XLOOKUP(Table1[[#This Row],[PEP]],CatPEP!C:C,CatPEP!D:D,"")</f>
        <v/>
      </c>
      <c r="O371" s="53">
        <f>SUMIF('Registro Refacciones'!B:B, I371, 'Registro Refacciones'!I:I)</f>
        <v>0</v>
      </c>
      <c r="P371" s="26">
        <f>Table1[[#This Row],[Costo Servicio]]+Table1[[#This Row],[Refacciones]]</f>
        <v>0</v>
      </c>
      <c r="Q371" s="26"/>
    </row>
    <row r="372" spans="1:17">
      <c r="A372" s="37" t="str">
        <f>IF(Table1[[#This Row],[Tipo de Servicio]]="","",Caratula!$D$15)</f>
        <v/>
      </c>
      <c r="B372" s="37" t="str">
        <f>IF(Table1[[#This Row],[Tipo de Servicio]]="","",Caratula!$D$16)</f>
        <v/>
      </c>
      <c r="C372" s="24" t="str">
        <f>IF(Table1[[#This Row],[Tipo de Servicio]]="","",Caratula!$D$17)</f>
        <v/>
      </c>
      <c r="D372" s="38" t="str">
        <f>IF(ISBLANK(Table1[[#This Row],[Tipo de Servicio]]),"",Caratula!$D$16)</f>
        <v/>
      </c>
      <c r="F372" t="str">
        <f>_xlfn.XLOOKUP(Table1[[#This Row],[SelGZ]]&amp;Table1[[#This Row],[Tipo de Servicio]],CatPEP!A:A,CatPEP!C:C,"")</f>
        <v/>
      </c>
      <c r="G372" t="str">
        <f>_xlfn.XLOOKUP(Table1[[#This Row],[PEP]],CatPEP!C:C,CatPEP!D:D,"")</f>
        <v/>
      </c>
      <c r="O372" s="53">
        <f>SUMIF('Registro Refacciones'!B:B, I372, 'Registro Refacciones'!I:I)</f>
        <v>0</v>
      </c>
      <c r="P372" s="26">
        <f>Table1[[#This Row],[Costo Servicio]]+Table1[[#This Row],[Refacciones]]</f>
        <v>0</v>
      </c>
      <c r="Q372" s="26"/>
    </row>
    <row r="373" spans="1:17">
      <c r="A373" s="37" t="str">
        <f>IF(Table1[[#This Row],[Tipo de Servicio]]="","",Caratula!$D$15)</f>
        <v/>
      </c>
      <c r="B373" s="37" t="str">
        <f>IF(Table1[[#This Row],[Tipo de Servicio]]="","",Caratula!$D$16)</f>
        <v/>
      </c>
      <c r="C373" s="24" t="str">
        <f>IF(Table1[[#This Row],[Tipo de Servicio]]="","",Caratula!$D$17)</f>
        <v/>
      </c>
      <c r="D373" s="38" t="str">
        <f>IF(ISBLANK(Table1[[#This Row],[Tipo de Servicio]]),"",Caratula!$D$16)</f>
        <v/>
      </c>
      <c r="F373" t="str">
        <f>_xlfn.XLOOKUP(Table1[[#This Row],[SelGZ]]&amp;Table1[[#This Row],[Tipo de Servicio]],CatPEP!A:A,CatPEP!C:C,"")</f>
        <v/>
      </c>
      <c r="G373" t="str">
        <f>_xlfn.XLOOKUP(Table1[[#This Row],[PEP]],CatPEP!C:C,CatPEP!D:D,"")</f>
        <v/>
      </c>
      <c r="O373" s="53">
        <f>SUMIF('Registro Refacciones'!B:B, I373, 'Registro Refacciones'!I:I)</f>
        <v>0</v>
      </c>
      <c r="P373" s="26">
        <f>Table1[[#This Row],[Costo Servicio]]+Table1[[#This Row],[Refacciones]]</f>
        <v>0</v>
      </c>
      <c r="Q373" s="26"/>
    </row>
    <row r="374" spans="1:17">
      <c r="A374" s="37" t="str">
        <f>IF(Table1[[#This Row],[Tipo de Servicio]]="","",Caratula!$D$15)</f>
        <v/>
      </c>
      <c r="B374" s="37" t="str">
        <f>IF(Table1[[#This Row],[Tipo de Servicio]]="","",Caratula!$D$16)</f>
        <v/>
      </c>
      <c r="C374" s="24" t="str">
        <f>IF(Table1[[#This Row],[Tipo de Servicio]]="","",Caratula!$D$17)</f>
        <v/>
      </c>
      <c r="D374" s="38" t="str">
        <f>IF(ISBLANK(Table1[[#This Row],[Tipo de Servicio]]),"",Caratula!$D$16)</f>
        <v/>
      </c>
      <c r="F374" t="str">
        <f>_xlfn.XLOOKUP(Table1[[#This Row],[SelGZ]]&amp;Table1[[#This Row],[Tipo de Servicio]],CatPEP!A:A,CatPEP!C:C,"")</f>
        <v/>
      </c>
      <c r="G374" t="str">
        <f>_xlfn.XLOOKUP(Table1[[#This Row],[PEP]],CatPEP!C:C,CatPEP!D:D,"")</f>
        <v/>
      </c>
      <c r="O374" s="53">
        <f>SUMIF('Registro Refacciones'!B:B, I374, 'Registro Refacciones'!I:I)</f>
        <v>0</v>
      </c>
      <c r="P374" s="26">
        <f>Table1[[#This Row],[Costo Servicio]]+Table1[[#This Row],[Refacciones]]</f>
        <v>0</v>
      </c>
      <c r="Q374" s="26"/>
    </row>
    <row r="375" spans="1:17">
      <c r="A375" s="37" t="str">
        <f>IF(Table1[[#This Row],[Tipo de Servicio]]="","",Caratula!$D$15)</f>
        <v/>
      </c>
      <c r="B375" s="37" t="str">
        <f>IF(Table1[[#This Row],[Tipo de Servicio]]="","",Caratula!$D$16)</f>
        <v/>
      </c>
      <c r="C375" s="24" t="str">
        <f>IF(Table1[[#This Row],[Tipo de Servicio]]="","",Caratula!$D$17)</f>
        <v/>
      </c>
      <c r="D375" s="38" t="str">
        <f>IF(ISBLANK(Table1[[#This Row],[Tipo de Servicio]]),"",Caratula!$D$16)</f>
        <v/>
      </c>
      <c r="F375" t="str">
        <f>_xlfn.XLOOKUP(Table1[[#This Row],[SelGZ]]&amp;Table1[[#This Row],[Tipo de Servicio]],CatPEP!A:A,CatPEP!C:C,"")</f>
        <v/>
      </c>
      <c r="G375" t="str">
        <f>_xlfn.XLOOKUP(Table1[[#This Row],[PEP]],CatPEP!C:C,CatPEP!D:D,"")</f>
        <v/>
      </c>
      <c r="O375" s="53">
        <f>SUMIF('Registro Refacciones'!B:B, I375, 'Registro Refacciones'!I:I)</f>
        <v>0</v>
      </c>
      <c r="P375" s="26">
        <f>Table1[[#This Row],[Costo Servicio]]+Table1[[#This Row],[Refacciones]]</f>
        <v>0</v>
      </c>
      <c r="Q375" s="26"/>
    </row>
    <row r="376" spans="1:17">
      <c r="A376" s="37" t="str">
        <f>IF(Table1[[#This Row],[Tipo de Servicio]]="","",Caratula!$D$15)</f>
        <v/>
      </c>
      <c r="B376" s="37" t="str">
        <f>IF(Table1[[#This Row],[Tipo de Servicio]]="","",Caratula!$D$16)</f>
        <v/>
      </c>
      <c r="C376" s="24" t="str">
        <f>IF(Table1[[#This Row],[Tipo de Servicio]]="","",Caratula!$D$17)</f>
        <v/>
      </c>
      <c r="D376" s="38" t="str">
        <f>IF(ISBLANK(Table1[[#This Row],[Tipo de Servicio]]),"",Caratula!$D$16)</f>
        <v/>
      </c>
      <c r="F376" t="str">
        <f>_xlfn.XLOOKUP(Table1[[#This Row],[SelGZ]]&amp;Table1[[#This Row],[Tipo de Servicio]],CatPEP!A:A,CatPEP!C:C,"")</f>
        <v/>
      </c>
      <c r="G376" t="str">
        <f>_xlfn.XLOOKUP(Table1[[#This Row],[PEP]],CatPEP!C:C,CatPEP!D:D,"")</f>
        <v/>
      </c>
      <c r="O376" s="53">
        <f>SUMIF('Registro Refacciones'!B:B, I376, 'Registro Refacciones'!I:I)</f>
        <v>0</v>
      </c>
      <c r="P376" s="26">
        <f>Table1[[#This Row],[Costo Servicio]]+Table1[[#This Row],[Refacciones]]</f>
        <v>0</v>
      </c>
      <c r="Q376" s="26"/>
    </row>
    <row r="377" spans="1:17">
      <c r="A377" s="37" t="str">
        <f>IF(Table1[[#This Row],[Tipo de Servicio]]="","",Caratula!$D$15)</f>
        <v/>
      </c>
      <c r="B377" s="37" t="str">
        <f>IF(Table1[[#This Row],[Tipo de Servicio]]="","",Caratula!$D$16)</f>
        <v/>
      </c>
      <c r="C377" s="24" t="str">
        <f>IF(Table1[[#This Row],[Tipo de Servicio]]="","",Caratula!$D$17)</f>
        <v/>
      </c>
      <c r="D377" s="38" t="str">
        <f>IF(ISBLANK(Table1[[#This Row],[Tipo de Servicio]]),"",Caratula!$D$16)</f>
        <v/>
      </c>
      <c r="F377" t="str">
        <f>_xlfn.XLOOKUP(Table1[[#This Row],[SelGZ]]&amp;Table1[[#This Row],[Tipo de Servicio]],CatPEP!A:A,CatPEP!C:C,"")</f>
        <v/>
      </c>
      <c r="G377" t="str">
        <f>_xlfn.XLOOKUP(Table1[[#This Row],[PEP]],CatPEP!C:C,CatPEP!D:D,"")</f>
        <v/>
      </c>
      <c r="O377" s="53">
        <f>SUMIF('Registro Refacciones'!B:B, I377, 'Registro Refacciones'!I:I)</f>
        <v>0</v>
      </c>
      <c r="P377" s="26">
        <f>Table1[[#This Row],[Costo Servicio]]+Table1[[#This Row],[Refacciones]]</f>
        <v>0</v>
      </c>
      <c r="Q377" s="26"/>
    </row>
    <row r="378" spans="1:17">
      <c r="A378" s="37" t="str">
        <f>IF(Table1[[#This Row],[Tipo de Servicio]]="","",Caratula!$D$15)</f>
        <v/>
      </c>
      <c r="B378" s="37" t="str">
        <f>IF(Table1[[#This Row],[Tipo de Servicio]]="","",Caratula!$D$16)</f>
        <v/>
      </c>
      <c r="C378" s="24" t="str">
        <f>IF(Table1[[#This Row],[Tipo de Servicio]]="","",Caratula!$D$17)</f>
        <v/>
      </c>
      <c r="D378" s="38" t="str">
        <f>IF(ISBLANK(Table1[[#This Row],[Tipo de Servicio]]),"",Caratula!$D$16)</f>
        <v/>
      </c>
      <c r="F378" t="str">
        <f>_xlfn.XLOOKUP(Table1[[#This Row],[SelGZ]]&amp;Table1[[#This Row],[Tipo de Servicio]],CatPEP!A:A,CatPEP!C:C,"")</f>
        <v/>
      </c>
      <c r="G378" t="str">
        <f>_xlfn.XLOOKUP(Table1[[#This Row],[PEP]],CatPEP!C:C,CatPEP!D:D,"")</f>
        <v/>
      </c>
      <c r="O378" s="53">
        <f>SUMIF('Registro Refacciones'!B:B, I378, 'Registro Refacciones'!I:I)</f>
        <v>0</v>
      </c>
      <c r="P378" s="26">
        <f>Table1[[#This Row],[Costo Servicio]]+Table1[[#This Row],[Refacciones]]</f>
        <v>0</v>
      </c>
      <c r="Q378" s="26"/>
    </row>
    <row r="379" spans="1:17">
      <c r="A379" s="37" t="str">
        <f>IF(Table1[[#This Row],[Tipo de Servicio]]="","",Caratula!$D$15)</f>
        <v/>
      </c>
      <c r="B379" s="37" t="str">
        <f>IF(Table1[[#This Row],[Tipo de Servicio]]="","",Caratula!$D$16)</f>
        <v/>
      </c>
      <c r="C379" s="24" t="str">
        <f>IF(Table1[[#This Row],[Tipo de Servicio]]="","",Caratula!$D$17)</f>
        <v/>
      </c>
      <c r="D379" s="38" t="str">
        <f>IF(ISBLANK(Table1[[#This Row],[Tipo de Servicio]]),"",Caratula!$D$16)</f>
        <v/>
      </c>
      <c r="F379" t="str">
        <f>_xlfn.XLOOKUP(Table1[[#This Row],[SelGZ]]&amp;Table1[[#This Row],[Tipo de Servicio]],CatPEP!A:A,CatPEP!C:C,"")</f>
        <v/>
      </c>
      <c r="G379" t="str">
        <f>_xlfn.XLOOKUP(Table1[[#This Row],[PEP]],CatPEP!C:C,CatPEP!D:D,"")</f>
        <v/>
      </c>
      <c r="O379" s="53">
        <f>SUMIF('Registro Refacciones'!B:B, I379, 'Registro Refacciones'!I:I)</f>
        <v>0</v>
      </c>
      <c r="P379" s="26">
        <f>Table1[[#This Row],[Costo Servicio]]+Table1[[#This Row],[Refacciones]]</f>
        <v>0</v>
      </c>
      <c r="Q379" s="26"/>
    </row>
    <row r="380" spans="1:17">
      <c r="A380" s="37" t="str">
        <f>IF(Table1[[#This Row],[Tipo de Servicio]]="","",Caratula!$D$15)</f>
        <v/>
      </c>
      <c r="B380" s="37" t="str">
        <f>IF(Table1[[#This Row],[Tipo de Servicio]]="","",Caratula!$D$16)</f>
        <v/>
      </c>
      <c r="C380" s="24" t="str">
        <f>IF(Table1[[#This Row],[Tipo de Servicio]]="","",Caratula!$D$17)</f>
        <v/>
      </c>
      <c r="D380" s="38" t="str">
        <f>IF(ISBLANK(Table1[[#This Row],[Tipo de Servicio]]),"",Caratula!$D$16)</f>
        <v/>
      </c>
      <c r="F380" t="str">
        <f>_xlfn.XLOOKUP(Table1[[#This Row],[SelGZ]]&amp;Table1[[#This Row],[Tipo de Servicio]],CatPEP!A:A,CatPEP!C:C,"")</f>
        <v/>
      </c>
      <c r="G380" t="str">
        <f>_xlfn.XLOOKUP(Table1[[#This Row],[PEP]],CatPEP!C:C,CatPEP!D:D,"")</f>
        <v/>
      </c>
      <c r="O380" s="53">
        <f>SUMIF('Registro Refacciones'!B:B, I380, 'Registro Refacciones'!I:I)</f>
        <v>0</v>
      </c>
      <c r="P380" s="26">
        <f>Table1[[#This Row],[Costo Servicio]]+Table1[[#This Row],[Refacciones]]</f>
        <v>0</v>
      </c>
      <c r="Q380" s="26"/>
    </row>
    <row r="381" spans="1:17">
      <c r="A381" s="37" t="str">
        <f>IF(Table1[[#This Row],[Tipo de Servicio]]="","",Caratula!$D$15)</f>
        <v/>
      </c>
      <c r="B381" s="37" t="str">
        <f>IF(Table1[[#This Row],[Tipo de Servicio]]="","",Caratula!$D$16)</f>
        <v/>
      </c>
      <c r="C381" s="24" t="str">
        <f>IF(Table1[[#This Row],[Tipo de Servicio]]="","",Caratula!$D$17)</f>
        <v/>
      </c>
      <c r="D381" s="38" t="str">
        <f>IF(ISBLANK(Table1[[#This Row],[Tipo de Servicio]]),"",Caratula!$D$16)</f>
        <v/>
      </c>
      <c r="F381" t="str">
        <f>_xlfn.XLOOKUP(Table1[[#This Row],[SelGZ]]&amp;Table1[[#This Row],[Tipo de Servicio]],CatPEP!A:A,CatPEP!C:C,"")</f>
        <v/>
      </c>
      <c r="G381" t="str">
        <f>_xlfn.XLOOKUP(Table1[[#This Row],[PEP]],CatPEP!C:C,CatPEP!D:D,"")</f>
        <v/>
      </c>
      <c r="O381" s="53">
        <f>SUMIF('Registro Refacciones'!B:B, I381, 'Registro Refacciones'!I:I)</f>
        <v>0</v>
      </c>
      <c r="P381" s="26">
        <f>Table1[[#This Row],[Costo Servicio]]+Table1[[#This Row],[Refacciones]]</f>
        <v>0</v>
      </c>
      <c r="Q381" s="26"/>
    </row>
    <row r="382" spans="1:17">
      <c r="A382" s="37" t="str">
        <f>IF(Table1[[#This Row],[Tipo de Servicio]]="","",Caratula!$D$15)</f>
        <v/>
      </c>
      <c r="B382" s="37" t="str">
        <f>IF(Table1[[#This Row],[Tipo de Servicio]]="","",Caratula!$D$16)</f>
        <v/>
      </c>
      <c r="C382" s="24" t="str">
        <f>IF(Table1[[#This Row],[Tipo de Servicio]]="","",Caratula!$D$17)</f>
        <v/>
      </c>
      <c r="D382" s="38" t="str">
        <f>IF(ISBLANK(Table1[[#This Row],[Tipo de Servicio]]),"",Caratula!$D$16)</f>
        <v/>
      </c>
      <c r="F382" t="str">
        <f>_xlfn.XLOOKUP(Table1[[#This Row],[SelGZ]]&amp;Table1[[#This Row],[Tipo de Servicio]],CatPEP!A:A,CatPEP!C:C,"")</f>
        <v/>
      </c>
      <c r="G382" t="str">
        <f>_xlfn.XLOOKUP(Table1[[#This Row],[PEP]],CatPEP!C:C,CatPEP!D:D,"")</f>
        <v/>
      </c>
      <c r="O382" s="53">
        <f>SUMIF('Registro Refacciones'!B:B, I382, 'Registro Refacciones'!I:I)</f>
        <v>0</v>
      </c>
      <c r="P382" s="26">
        <f>Table1[[#This Row],[Costo Servicio]]+Table1[[#This Row],[Refacciones]]</f>
        <v>0</v>
      </c>
      <c r="Q382" s="26"/>
    </row>
    <row r="383" spans="1:17">
      <c r="A383" s="37" t="str">
        <f>IF(Table1[[#This Row],[Tipo de Servicio]]="","",Caratula!$D$15)</f>
        <v/>
      </c>
      <c r="B383" s="37" t="str">
        <f>IF(Table1[[#This Row],[Tipo de Servicio]]="","",Caratula!$D$16)</f>
        <v/>
      </c>
      <c r="C383" s="24" t="str">
        <f>IF(Table1[[#This Row],[Tipo de Servicio]]="","",Caratula!$D$17)</f>
        <v/>
      </c>
      <c r="D383" s="38" t="str">
        <f>IF(ISBLANK(Table1[[#This Row],[Tipo de Servicio]]),"",Caratula!$D$16)</f>
        <v/>
      </c>
      <c r="F383" t="str">
        <f>_xlfn.XLOOKUP(Table1[[#This Row],[SelGZ]]&amp;Table1[[#This Row],[Tipo de Servicio]],CatPEP!A:A,CatPEP!C:C,"")</f>
        <v/>
      </c>
      <c r="G383" t="str">
        <f>_xlfn.XLOOKUP(Table1[[#This Row],[PEP]],CatPEP!C:C,CatPEP!D:D,"")</f>
        <v/>
      </c>
      <c r="O383" s="53">
        <f>SUMIF('Registro Refacciones'!B:B, I383, 'Registro Refacciones'!I:I)</f>
        <v>0</v>
      </c>
      <c r="P383" s="26">
        <f>Table1[[#This Row],[Costo Servicio]]+Table1[[#This Row],[Refacciones]]</f>
        <v>0</v>
      </c>
      <c r="Q383" s="26"/>
    </row>
    <row r="384" spans="1:17">
      <c r="A384" s="37" t="str">
        <f>IF(Table1[[#This Row],[Tipo de Servicio]]="","",Caratula!$D$15)</f>
        <v/>
      </c>
      <c r="B384" s="37" t="str">
        <f>IF(Table1[[#This Row],[Tipo de Servicio]]="","",Caratula!$D$16)</f>
        <v/>
      </c>
      <c r="C384" s="24" t="str">
        <f>IF(Table1[[#This Row],[Tipo de Servicio]]="","",Caratula!$D$17)</f>
        <v/>
      </c>
      <c r="D384" s="38" t="str">
        <f>IF(ISBLANK(Table1[[#This Row],[Tipo de Servicio]]),"",Caratula!$D$16)</f>
        <v/>
      </c>
      <c r="F384" t="str">
        <f>_xlfn.XLOOKUP(Table1[[#This Row],[SelGZ]]&amp;Table1[[#This Row],[Tipo de Servicio]],CatPEP!A:A,CatPEP!C:C,"")</f>
        <v/>
      </c>
      <c r="G384" t="str">
        <f>_xlfn.XLOOKUP(Table1[[#This Row],[PEP]],CatPEP!C:C,CatPEP!D:D,"")</f>
        <v/>
      </c>
      <c r="O384" s="53">
        <f>SUMIF('Registro Refacciones'!B:B, I384, 'Registro Refacciones'!I:I)</f>
        <v>0</v>
      </c>
      <c r="P384" s="26">
        <f>Table1[[#This Row],[Costo Servicio]]+Table1[[#This Row],[Refacciones]]</f>
        <v>0</v>
      </c>
      <c r="Q384" s="26"/>
    </row>
    <row r="385" spans="1:17">
      <c r="A385" s="37" t="str">
        <f>IF(Table1[[#This Row],[Tipo de Servicio]]="","",Caratula!$D$15)</f>
        <v/>
      </c>
      <c r="B385" s="37" t="str">
        <f>IF(Table1[[#This Row],[Tipo de Servicio]]="","",Caratula!$D$16)</f>
        <v/>
      </c>
      <c r="C385" s="24" t="str">
        <f>IF(Table1[[#This Row],[Tipo de Servicio]]="","",Caratula!$D$17)</f>
        <v/>
      </c>
      <c r="D385" s="38" t="str">
        <f>IF(ISBLANK(Table1[[#This Row],[Tipo de Servicio]]),"",Caratula!$D$16)</f>
        <v/>
      </c>
      <c r="F385" t="str">
        <f>_xlfn.XLOOKUP(Table1[[#This Row],[SelGZ]]&amp;Table1[[#This Row],[Tipo de Servicio]],CatPEP!A:A,CatPEP!C:C,"")</f>
        <v/>
      </c>
      <c r="G385" t="str">
        <f>_xlfn.XLOOKUP(Table1[[#This Row],[PEP]],CatPEP!C:C,CatPEP!D:D,"")</f>
        <v/>
      </c>
      <c r="O385" s="53">
        <f>SUMIF('Registro Refacciones'!B:B, I385, 'Registro Refacciones'!I:I)</f>
        <v>0</v>
      </c>
      <c r="P385" s="26">
        <f>Table1[[#This Row],[Costo Servicio]]+Table1[[#This Row],[Refacciones]]</f>
        <v>0</v>
      </c>
      <c r="Q385" s="26"/>
    </row>
    <row r="386" spans="1:17">
      <c r="A386" s="37" t="str">
        <f>IF(Table1[[#This Row],[Tipo de Servicio]]="","",Caratula!$D$15)</f>
        <v/>
      </c>
      <c r="B386" s="37" t="str">
        <f>IF(Table1[[#This Row],[Tipo de Servicio]]="","",Caratula!$D$16)</f>
        <v/>
      </c>
      <c r="C386" s="24" t="str">
        <f>IF(Table1[[#This Row],[Tipo de Servicio]]="","",Caratula!$D$17)</f>
        <v/>
      </c>
      <c r="D386" s="38" t="str">
        <f>IF(ISBLANK(Table1[[#This Row],[Tipo de Servicio]]),"",Caratula!$D$16)</f>
        <v/>
      </c>
      <c r="F386" t="str">
        <f>_xlfn.XLOOKUP(Table1[[#This Row],[SelGZ]]&amp;Table1[[#This Row],[Tipo de Servicio]],CatPEP!A:A,CatPEP!C:C,"")</f>
        <v/>
      </c>
      <c r="G386" t="str">
        <f>_xlfn.XLOOKUP(Table1[[#This Row],[PEP]],CatPEP!C:C,CatPEP!D:D,"")</f>
        <v/>
      </c>
      <c r="O386" s="53">
        <f>SUMIF('Registro Refacciones'!B:B, I386, 'Registro Refacciones'!I:I)</f>
        <v>0</v>
      </c>
      <c r="P386" s="26">
        <f>Table1[[#This Row],[Costo Servicio]]+Table1[[#This Row],[Refacciones]]</f>
        <v>0</v>
      </c>
      <c r="Q386" s="26"/>
    </row>
    <row r="387" spans="1:17">
      <c r="A387" s="37" t="str">
        <f>IF(Table1[[#This Row],[Tipo de Servicio]]="","",Caratula!$D$15)</f>
        <v/>
      </c>
      <c r="B387" s="37" t="str">
        <f>IF(Table1[[#This Row],[Tipo de Servicio]]="","",Caratula!$D$16)</f>
        <v/>
      </c>
      <c r="C387" s="24" t="str">
        <f>IF(Table1[[#This Row],[Tipo de Servicio]]="","",Caratula!$D$17)</f>
        <v/>
      </c>
      <c r="D387" s="38" t="str">
        <f>IF(ISBLANK(Table1[[#This Row],[Tipo de Servicio]]),"",Caratula!$D$16)</f>
        <v/>
      </c>
      <c r="F387" t="str">
        <f>_xlfn.XLOOKUP(Table1[[#This Row],[SelGZ]]&amp;Table1[[#This Row],[Tipo de Servicio]],CatPEP!A:A,CatPEP!C:C,"")</f>
        <v/>
      </c>
      <c r="G387" t="str">
        <f>_xlfn.XLOOKUP(Table1[[#This Row],[PEP]],CatPEP!C:C,CatPEP!D:D,"")</f>
        <v/>
      </c>
      <c r="O387" s="53">
        <f>SUMIF('Registro Refacciones'!B:B, I387, 'Registro Refacciones'!I:I)</f>
        <v>0</v>
      </c>
      <c r="P387" s="26">
        <f>Table1[[#This Row],[Costo Servicio]]+Table1[[#This Row],[Refacciones]]</f>
        <v>0</v>
      </c>
      <c r="Q387" s="26"/>
    </row>
    <row r="388" spans="1:17">
      <c r="A388" s="37" t="str">
        <f>IF(Table1[[#This Row],[Tipo de Servicio]]="","",Caratula!$D$15)</f>
        <v/>
      </c>
      <c r="B388" s="37" t="str">
        <f>IF(Table1[[#This Row],[Tipo de Servicio]]="","",Caratula!$D$16)</f>
        <v/>
      </c>
      <c r="C388" s="24" t="str">
        <f>IF(Table1[[#This Row],[Tipo de Servicio]]="","",Caratula!$D$17)</f>
        <v/>
      </c>
      <c r="D388" s="38" t="str">
        <f>IF(ISBLANK(Table1[[#This Row],[Tipo de Servicio]]),"",Caratula!$D$16)</f>
        <v/>
      </c>
      <c r="F388" t="str">
        <f>_xlfn.XLOOKUP(Table1[[#This Row],[SelGZ]]&amp;Table1[[#This Row],[Tipo de Servicio]],CatPEP!A:A,CatPEP!C:C,"")</f>
        <v/>
      </c>
      <c r="G388" t="str">
        <f>_xlfn.XLOOKUP(Table1[[#This Row],[PEP]],CatPEP!C:C,CatPEP!D:D,"")</f>
        <v/>
      </c>
      <c r="O388" s="53">
        <f>SUMIF('Registro Refacciones'!B:B, I388, 'Registro Refacciones'!I:I)</f>
        <v>0</v>
      </c>
      <c r="P388" s="26">
        <f>Table1[[#This Row],[Costo Servicio]]+Table1[[#This Row],[Refacciones]]</f>
        <v>0</v>
      </c>
      <c r="Q388" s="26"/>
    </row>
    <row r="389" spans="1:17">
      <c r="A389" s="37" t="str">
        <f>IF(Table1[[#This Row],[Tipo de Servicio]]="","",Caratula!$D$15)</f>
        <v/>
      </c>
      <c r="B389" s="37" t="str">
        <f>IF(Table1[[#This Row],[Tipo de Servicio]]="","",Caratula!$D$16)</f>
        <v/>
      </c>
      <c r="C389" s="24" t="str">
        <f>IF(Table1[[#This Row],[Tipo de Servicio]]="","",Caratula!$D$17)</f>
        <v/>
      </c>
      <c r="D389" s="38" t="str">
        <f>IF(ISBLANK(Table1[[#This Row],[Tipo de Servicio]]),"",Caratula!$D$16)</f>
        <v/>
      </c>
      <c r="F389" t="str">
        <f>_xlfn.XLOOKUP(Table1[[#This Row],[SelGZ]]&amp;Table1[[#This Row],[Tipo de Servicio]],CatPEP!A:A,CatPEP!C:C,"")</f>
        <v/>
      </c>
      <c r="G389" t="str">
        <f>_xlfn.XLOOKUP(Table1[[#This Row],[PEP]],CatPEP!C:C,CatPEP!D:D,"")</f>
        <v/>
      </c>
      <c r="O389" s="53">
        <f>SUMIF('Registro Refacciones'!B:B, I389, 'Registro Refacciones'!I:I)</f>
        <v>0</v>
      </c>
      <c r="P389" s="26">
        <f>Table1[[#This Row],[Costo Servicio]]+Table1[[#This Row],[Refacciones]]</f>
        <v>0</v>
      </c>
      <c r="Q389" s="26"/>
    </row>
    <row r="390" spans="1:17">
      <c r="A390" s="37" t="str">
        <f>IF(Table1[[#This Row],[Tipo de Servicio]]="","",Caratula!$D$15)</f>
        <v/>
      </c>
      <c r="B390" s="37" t="str">
        <f>IF(Table1[[#This Row],[Tipo de Servicio]]="","",Caratula!$D$16)</f>
        <v/>
      </c>
      <c r="C390" s="24" t="str">
        <f>IF(Table1[[#This Row],[Tipo de Servicio]]="","",Caratula!$D$17)</f>
        <v/>
      </c>
      <c r="D390" s="38" t="str">
        <f>IF(ISBLANK(Table1[[#This Row],[Tipo de Servicio]]),"",Caratula!$D$16)</f>
        <v/>
      </c>
      <c r="F390" t="str">
        <f>_xlfn.XLOOKUP(Table1[[#This Row],[SelGZ]]&amp;Table1[[#This Row],[Tipo de Servicio]],CatPEP!A:A,CatPEP!C:C,"")</f>
        <v/>
      </c>
      <c r="G390" t="str">
        <f>_xlfn.XLOOKUP(Table1[[#This Row],[PEP]],CatPEP!C:C,CatPEP!D:D,"")</f>
        <v/>
      </c>
      <c r="O390" s="53">
        <f>SUMIF('Registro Refacciones'!B:B, I390, 'Registro Refacciones'!I:I)</f>
        <v>0</v>
      </c>
      <c r="P390" s="26">
        <f>Table1[[#This Row],[Costo Servicio]]+Table1[[#This Row],[Refacciones]]</f>
        <v>0</v>
      </c>
      <c r="Q390" s="26"/>
    </row>
    <row r="391" spans="1:17">
      <c r="A391" s="37" t="str">
        <f>IF(Table1[[#This Row],[Tipo de Servicio]]="","",Caratula!$D$15)</f>
        <v/>
      </c>
      <c r="B391" s="37" t="str">
        <f>IF(Table1[[#This Row],[Tipo de Servicio]]="","",Caratula!$D$16)</f>
        <v/>
      </c>
      <c r="C391" s="24" t="str">
        <f>IF(Table1[[#This Row],[Tipo de Servicio]]="","",Caratula!$D$17)</f>
        <v/>
      </c>
      <c r="D391" s="38" t="str">
        <f>IF(ISBLANK(Table1[[#This Row],[Tipo de Servicio]]),"",Caratula!$D$16)</f>
        <v/>
      </c>
      <c r="F391" t="str">
        <f>_xlfn.XLOOKUP(Table1[[#This Row],[SelGZ]]&amp;Table1[[#This Row],[Tipo de Servicio]],CatPEP!A:A,CatPEP!C:C,"")</f>
        <v/>
      </c>
      <c r="G391" t="str">
        <f>_xlfn.XLOOKUP(Table1[[#This Row],[PEP]],CatPEP!C:C,CatPEP!D:D,"")</f>
        <v/>
      </c>
      <c r="O391" s="53">
        <f>SUMIF('Registro Refacciones'!B:B, I391, 'Registro Refacciones'!I:I)</f>
        <v>0</v>
      </c>
      <c r="P391" s="26">
        <f>Table1[[#This Row],[Costo Servicio]]+Table1[[#This Row],[Refacciones]]</f>
        <v>0</v>
      </c>
      <c r="Q391" s="26"/>
    </row>
    <row r="392" spans="1:17">
      <c r="A392" s="37" t="str">
        <f>IF(Table1[[#This Row],[Tipo de Servicio]]="","",Caratula!$D$15)</f>
        <v/>
      </c>
      <c r="B392" s="37" t="str">
        <f>IF(Table1[[#This Row],[Tipo de Servicio]]="","",Caratula!$D$16)</f>
        <v/>
      </c>
      <c r="C392" s="24" t="str">
        <f>IF(Table1[[#This Row],[Tipo de Servicio]]="","",Caratula!$D$17)</f>
        <v/>
      </c>
      <c r="D392" s="38" t="str">
        <f>IF(ISBLANK(Table1[[#This Row],[Tipo de Servicio]]),"",Caratula!$D$16)</f>
        <v/>
      </c>
      <c r="F392" t="str">
        <f>_xlfn.XLOOKUP(Table1[[#This Row],[SelGZ]]&amp;Table1[[#This Row],[Tipo de Servicio]],CatPEP!A:A,CatPEP!C:C,"")</f>
        <v/>
      </c>
      <c r="G392" t="str">
        <f>_xlfn.XLOOKUP(Table1[[#This Row],[PEP]],CatPEP!C:C,CatPEP!D:D,"")</f>
        <v/>
      </c>
      <c r="O392" s="53">
        <f>SUMIF('Registro Refacciones'!B:B, I392, 'Registro Refacciones'!I:I)</f>
        <v>0</v>
      </c>
      <c r="P392" s="26">
        <f>Table1[[#This Row],[Costo Servicio]]+Table1[[#This Row],[Refacciones]]</f>
        <v>0</v>
      </c>
      <c r="Q392" s="26"/>
    </row>
    <row r="393" spans="1:17">
      <c r="A393" s="37" t="str">
        <f>IF(Table1[[#This Row],[Tipo de Servicio]]="","",Caratula!$D$15)</f>
        <v/>
      </c>
      <c r="B393" s="37" t="str">
        <f>IF(Table1[[#This Row],[Tipo de Servicio]]="","",Caratula!$D$16)</f>
        <v/>
      </c>
      <c r="C393" s="24" t="str">
        <f>IF(Table1[[#This Row],[Tipo de Servicio]]="","",Caratula!$D$17)</f>
        <v/>
      </c>
      <c r="D393" s="38" t="str">
        <f>IF(ISBLANK(Table1[[#This Row],[Tipo de Servicio]]),"",Caratula!$D$16)</f>
        <v/>
      </c>
      <c r="F393" t="str">
        <f>_xlfn.XLOOKUP(Table1[[#This Row],[SelGZ]]&amp;Table1[[#This Row],[Tipo de Servicio]],CatPEP!A:A,CatPEP!C:C,"")</f>
        <v/>
      </c>
      <c r="G393" t="str">
        <f>_xlfn.XLOOKUP(Table1[[#This Row],[PEP]],CatPEP!C:C,CatPEP!D:D,"")</f>
        <v/>
      </c>
      <c r="O393" s="53">
        <f>SUMIF('Registro Refacciones'!B:B, I393, 'Registro Refacciones'!I:I)</f>
        <v>0</v>
      </c>
      <c r="P393" s="26">
        <f>Table1[[#This Row],[Costo Servicio]]+Table1[[#This Row],[Refacciones]]</f>
        <v>0</v>
      </c>
      <c r="Q393" s="26"/>
    </row>
    <row r="394" spans="1:17">
      <c r="A394" s="37" t="str">
        <f>IF(Table1[[#This Row],[Tipo de Servicio]]="","",Caratula!$D$15)</f>
        <v/>
      </c>
      <c r="B394" s="37" t="str">
        <f>IF(Table1[[#This Row],[Tipo de Servicio]]="","",Caratula!$D$16)</f>
        <v/>
      </c>
      <c r="C394" s="24" t="str">
        <f>IF(Table1[[#This Row],[Tipo de Servicio]]="","",Caratula!$D$17)</f>
        <v/>
      </c>
      <c r="D394" s="38" t="str">
        <f>IF(ISBLANK(Table1[[#This Row],[Tipo de Servicio]]),"",Caratula!$D$16)</f>
        <v/>
      </c>
      <c r="F394" t="str">
        <f>_xlfn.XLOOKUP(Table1[[#This Row],[SelGZ]]&amp;Table1[[#This Row],[Tipo de Servicio]],CatPEP!A:A,CatPEP!C:C,"")</f>
        <v/>
      </c>
      <c r="G394" t="str">
        <f>_xlfn.XLOOKUP(Table1[[#This Row],[PEP]],CatPEP!C:C,CatPEP!D:D,"")</f>
        <v/>
      </c>
      <c r="O394" s="53">
        <f>SUMIF('Registro Refacciones'!B:B, I394, 'Registro Refacciones'!I:I)</f>
        <v>0</v>
      </c>
      <c r="P394" s="26">
        <f>Table1[[#This Row],[Costo Servicio]]+Table1[[#This Row],[Refacciones]]</f>
        <v>0</v>
      </c>
      <c r="Q394" s="26"/>
    </row>
    <row r="395" spans="1:17">
      <c r="A395" s="37" t="str">
        <f>IF(Table1[[#This Row],[Tipo de Servicio]]="","",Caratula!$D$15)</f>
        <v/>
      </c>
      <c r="B395" s="37" t="str">
        <f>IF(Table1[[#This Row],[Tipo de Servicio]]="","",Caratula!$D$16)</f>
        <v/>
      </c>
      <c r="C395" s="24" t="str">
        <f>IF(Table1[[#This Row],[Tipo de Servicio]]="","",Caratula!$D$17)</f>
        <v/>
      </c>
      <c r="D395" s="38" t="str">
        <f>IF(ISBLANK(Table1[[#This Row],[Tipo de Servicio]]),"",Caratula!$D$16)</f>
        <v/>
      </c>
      <c r="F395" t="str">
        <f>_xlfn.XLOOKUP(Table1[[#This Row],[SelGZ]]&amp;Table1[[#This Row],[Tipo de Servicio]],CatPEP!A:A,CatPEP!C:C,"")</f>
        <v/>
      </c>
      <c r="G395" t="str">
        <f>_xlfn.XLOOKUP(Table1[[#This Row],[PEP]],CatPEP!C:C,CatPEP!D:D,"")</f>
        <v/>
      </c>
      <c r="O395" s="53">
        <f>SUMIF('Registro Refacciones'!B:B, I395, 'Registro Refacciones'!I:I)</f>
        <v>0</v>
      </c>
      <c r="P395" s="26">
        <f>Table1[[#This Row],[Costo Servicio]]+Table1[[#This Row],[Refacciones]]</f>
        <v>0</v>
      </c>
      <c r="Q395" s="26"/>
    </row>
    <row r="396" spans="1:17">
      <c r="A396" s="37" t="str">
        <f>IF(Table1[[#This Row],[Tipo de Servicio]]="","",Caratula!$D$15)</f>
        <v/>
      </c>
      <c r="B396" s="37" t="str">
        <f>IF(Table1[[#This Row],[Tipo de Servicio]]="","",Caratula!$D$16)</f>
        <v/>
      </c>
      <c r="C396" s="24" t="str">
        <f>IF(Table1[[#This Row],[Tipo de Servicio]]="","",Caratula!$D$17)</f>
        <v/>
      </c>
      <c r="D396" s="38" t="str">
        <f>IF(ISBLANK(Table1[[#This Row],[Tipo de Servicio]]),"",Caratula!$D$16)</f>
        <v/>
      </c>
      <c r="F396" t="str">
        <f>_xlfn.XLOOKUP(Table1[[#This Row],[SelGZ]]&amp;Table1[[#This Row],[Tipo de Servicio]],CatPEP!A:A,CatPEP!C:C,"")</f>
        <v/>
      </c>
      <c r="G396" t="str">
        <f>_xlfn.XLOOKUP(Table1[[#This Row],[PEP]],CatPEP!C:C,CatPEP!D:D,"")</f>
        <v/>
      </c>
      <c r="O396" s="53">
        <f>SUMIF('Registro Refacciones'!B:B, I396, 'Registro Refacciones'!I:I)</f>
        <v>0</v>
      </c>
      <c r="P396" s="26">
        <f>Table1[[#This Row],[Costo Servicio]]+Table1[[#This Row],[Refacciones]]</f>
        <v>0</v>
      </c>
      <c r="Q396" s="26"/>
    </row>
    <row r="397" spans="1:17">
      <c r="A397" s="37" t="str">
        <f>IF(Table1[[#This Row],[Tipo de Servicio]]="","",Caratula!$D$15)</f>
        <v/>
      </c>
      <c r="B397" s="37" t="str">
        <f>IF(Table1[[#This Row],[Tipo de Servicio]]="","",Caratula!$D$16)</f>
        <v/>
      </c>
      <c r="C397" s="24" t="str">
        <f>IF(Table1[[#This Row],[Tipo de Servicio]]="","",Caratula!$D$17)</f>
        <v/>
      </c>
      <c r="D397" s="38" t="str">
        <f>IF(ISBLANK(Table1[[#This Row],[Tipo de Servicio]]),"",Caratula!$D$16)</f>
        <v/>
      </c>
      <c r="F397" t="str">
        <f>_xlfn.XLOOKUP(Table1[[#This Row],[SelGZ]]&amp;Table1[[#This Row],[Tipo de Servicio]],CatPEP!A:A,CatPEP!C:C,"")</f>
        <v/>
      </c>
      <c r="G397" t="str">
        <f>_xlfn.XLOOKUP(Table1[[#This Row],[PEP]],CatPEP!C:C,CatPEP!D:D,"")</f>
        <v/>
      </c>
      <c r="O397" s="53">
        <f>SUMIF('Registro Refacciones'!B:B, I397, 'Registro Refacciones'!I:I)</f>
        <v>0</v>
      </c>
      <c r="P397" s="26">
        <f>Table1[[#This Row],[Costo Servicio]]+Table1[[#This Row],[Refacciones]]</f>
        <v>0</v>
      </c>
      <c r="Q397" s="26"/>
    </row>
    <row r="398" spans="1:17">
      <c r="A398" s="37" t="str">
        <f>IF(Table1[[#This Row],[Tipo de Servicio]]="","",Caratula!$D$15)</f>
        <v/>
      </c>
      <c r="B398" s="37" t="str">
        <f>IF(Table1[[#This Row],[Tipo de Servicio]]="","",Caratula!$D$16)</f>
        <v/>
      </c>
      <c r="C398" s="24" t="str">
        <f>IF(Table1[[#This Row],[Tipo de Servicio]]="","",Caratula!$D$17)</f>
        <v/>
      </c>
      <c r="D398" s="38" t="str">
        <f>IF(ISBLANK(Table1[[#This Row],[Tipo de Servicio]]),"",Caratula!$D$16)</f>
        <v/>
      </c>
      <c r="F398" t="str">
        <f>_xlfn.XLOOKUP(Table1[[#This Row],[SelGZ]]&amp;Table1[[#This Row],[Tipo de Servicio]],CatPEP!A:A,CatPEP!C:C,"")</f>
        <v/>
      </c>
      <c r="G398" t="str">
        <f>_xlfn.XLOOKUP(Table1[[#This Row],[PEP]],CatPEP!C:C,CatPEP!D:D,"")</f>
        <v/>
      </c>
      <c r="O398" s="53">
        <f>SUMIF('Registro Refacciones'!B:B, I398, 'Registro Refacciones'!I:I)</f>
        <v>0</v>
      </c>
      <c r="P398" s="26">
        <f>Table1[[#This Row],[Costo Servicio]]+Table1[[#This Row],[Refacciones]]</f>
        <v>0</v>
      </c>
      <c r="Q398" s="26"/>
    </row>
    <row r="399" spans="1:17">
      <c r="A399" s="37" t="str">
        <f>IF(Table1[[#This Row],[Tipo de Servicio]]="","",Caratula!$D$15)</f>
        <v/>
      </c>
      <c r="B399" s="37" t="str">
        <f>IF(Table1[[#This Row],[Tipo de Servicio]]="","",Caratula!$D$16)</f>
        <v/>
      </c>
      <c r="C399" s="24" t="str">
        <f>IF(Table1[[#This Row],[Tipo de Servicio]]="","",Caratula!$D$17)</f>
        <v/>
      </c>
      <c r="D399" s="38" t="str">
        <f>IF(ISBLANK(Table1[[#This Row],[Tipo de Servicio]]),"",Caratula!$D$16)</f>
        <v/>
      </c>
      <c r="F399" t="str">
        <f>_xlfn.XLOOKUP(Table1[[#This Row],[SelGZ]]&amp;Table1[[#This Row],[Tipo de Servicio]],CatPEP!A:A,CatPEP!C:C,"")</f>
        <v/>
      </c>
      <c r="G399" t="str">
        <f>_xlfn.XLOOKUP(Table1[[#This Row],[PEP]],CatPEP!C:C,CatPEP!D:D,"")</f>
        <v/>
      </c>
      <c r="O399" s="53">
        <f>SUMIF('Registro Refacciones'!B:B, I399, 'Registro Refacciones'!I:I)</f>
        <v>0</v>
      </c>
      <c r="P399" s="26">
        <f>Table1[[#This Row],[Costo Servicio]]+Table1[[#This Row],[Refacciones]]</f>
        <v>0</v>
      </c>
      <c r="Q399" s="26"/>
    </row>
    <row r="400" spans="1:17">
      <c r="A400" s="37" t="str">
        <f>IF(Table1[[#This Row],[Tipo de Servicio]]="","",Caratula!$D$15)</f>
        <v/>
      </c>
      <c r="B400" s="37" t="str">
        <f>IF(Table1[[#This Row],[Tipo de Servicio]]="","",Caratula!$D$16)</f>
        <v/>
      </c>
      <c r="C400" s="24" t="str">
        <f>IF(Table1[[#This Row],[Tipo de Servicio]]="","",Caratula!$D$17)</f>
        <v/>
      </c>
      <c r="D400" s="38" t="str">
        <f>IF(ISBLANK(Table1[[#This Row],[Tipo de Servicio]]),"",Caratula!$D$16)</f>
        <v/>
      </c>
      <c r="F400" t="str">
        <f>_xlfn.XLOOKUP(Table1[[#This Row],[SelGZ]]&amp;Table1[[#This Row],[Tipo de Servicio]],CatPEP!A:A,CatPEP!C:C,"")</f>
        <v/>
      </c>
      <c r="G400" t="str">
        <f>_xlfn.XLOOKUP(Table1[[#This Row],[PEP]],CatPEP!C:C,CatPEP!D:D,"")</f>
        <v/>
      </c>
      <c r="O400" s="53">
        <f>SUMIF('Registro Refacciones'!B:B, I400, 'Registro Refacciones'!I:I)</f>
        <v>0</v>
      </c>
      <c r="P400" s="26">
        <f>Table1[[#This Row],[Costo Servicio]]+Table1[[#This Row],[Refacciones]]</f>
        <v>0</v>
      </c>
      <c r="Q400" s="26"/>
    </row>
    <row r="401" spans="1:17">
      <c r="A401" s="37" t="str">
        <f>IF(Table1[[#This Row],[Tipo de Servicio]]="","",Caratula!$D$15)</f>
        <v/>
      </c>
      <c r="B401" s="37" t="str">
        <f>IF(Table1[[#This Row],[Tipo de Servicio]]="","",Caratula!$D$16)</f>
        <v/>
      </c>
      <c r="C401" s="24" t="str">
        <f>IF(Table1[[#This Row],[Tipo de Servicio]]="","",Caratula!$D$17)</f>
        <v/>
      </c>
      <c r="D401" s="38" t="str">
        <f>IF(ISBLANK(Table1[[#This Row],[Tipo de Servicio]]),"",Caratula!$D$16)</f>
        <v/>
      </c>
      <c r="F401" t="str">
        <f>_xlfn.XLOOKUP(Table1[[#This Row],[SelGZ]]&amp;Table1[[#This Row],[Tipo de Servicio]],CatPEP!A:A,CatPEP!C:C,"")</f>
        <v/>
      </c>
      <c r="G401" t="str">
        <f>_xlfn.XLOOKUP(Table1[[#This Row],[PEP]],CatPEP!C:C,CatPEP!D:D,"")</f>
        <v/>
      </c>
      <c r="O401" s="53">
        <f>SUMIF('Registro Refacciones'!B:B, I401, 'Registro Refacciones'!I:I)</f>
        <v>0</v>
      </c>
      <c r="P401" s="26">
        <f>Table1[[#This Row],[Costo Servicio]]+Table1[[#This Row],[Refacciones]]</f>
        <v>0</v>
      </c>
      <c r="Q401" s="26"/>
    </row>
    <row r="402" spans="1:17">
      <c r="A402" s="37" t="str">
        <f>IF(Table1[[#This Row],[Tipo de Servicio]]="","",Caratula!$D$15)</f>
        <v/>
      </c>
      <c r="B402" s="37" t="str">
        <f>IF(Table1[[#This Row],[Tipo de Servicio]]="","",Caratula!$D$16)</f>
        <v/>
      </c>
      <c r="C402" s="24" t="str">
        <f>IF(Table1[[#This Row],[Tipo de Servicio]]="","",Caratula!$D$17)</f>
        <v/>
      </c>
      <c r="D402" s="38" t="str">
        <f>IF(ISBLANK(Table1[[#This Row],[Tipo de Servicio]]),"",Caratula!$D$16)</f>
        <v/>
      </c>
      <c r="F402" t="str">
        <f>_xlfn.XLOOKUP(Table1[[#This Row],[SelGZ]]&amp;Table1[[#This Row],[Tipo de Servicio]],CatPEP!A:A,CatPEP!C:C,"")</f>
        <v/>
      </c>
      <c r="G402" t="str">
        <f>_xlfn.XLOOKUP(Table1[[#This Row],[PEP]],CatPEP!C:C,CatPEP!D:D,"")</f>
        <v/>
      </c>
      <c r="O402" s="53">
        <f>SUMIF('Registro Refacciones'!B:B, I402, 'Registro Refacciones'!I:I)</f>
        <v>0</v>
      </c>
      <c r="P402" s="26">
        <f>Table1[[#This Row],[Costo Servicio]]+Table1[[#This Row],[Refacciones]]</f>
        <v>0</v>
      </c>
      <c r="Q402" s="26"/>
    </row>
    <row r="403" spans="1:17">
      <c r="A403" s="37" t="str">
        <f>IF(Table1[[#This Row],[Tipo de Servicio]]="","",Caratula!$D$15)</f>
        <v/>
      </c>
      <c r="B403" s="37" t="str">
        <f>IF(Table1[[#This Row],[Tipo de Servicio]]="","",Caratula!$D$16)</f>
        <v/>
      </c>
      <c r="C403" s="24" t="str">
        <f>IF(Table1[[#This Row],[Tipo de Servicio]]="","",Caratula!$D$17)</f>
        <v/>
      </c>
      <c r="D403" s="38" t="str">
        <f>IF(ISBLANK(Table1[[#This Row],[Tipo de Servicio]]),"",Caratula!$D$16)</f>
        <v/>
      </c>
      <c r="F403" t="str">
        <f>_xlfn.XLOOKUP(Table1[[#This Row],[SelGZ]]&amp;Table1[[#This Row],[Tipo de Servicio]],CatPEP!A:A,CatPEP!C:C,"")</f>
        <v/>
      </c>
      <c r="G403" t="str">
        <f>_xlfn.XLOOKUP(Table1[[#This Row],[PEP]],CatPEP!C:C,CatPEP!D:D,"")</f>
        <v/>
      </c>
      <c r="O403" s="53">
        <f>SUMIF('Registro Refacciones'!B:B, I403, 'Registro Refacciones'!I:I)</f>
        <v>0</v>
      </c>
      <c r="P403" s="26">
        <f>Table1[[#This Row],[Costo Servicio]]+Table1[[#This Row],[Refacciones]]</f>
        <v>0</v>
      </c>
      <c r="Q403" s="26"/>
    </row>
    <row r="404" spans="1:17">
      <c r="A404" s="37" t="str">
        <f>IF(Table1[[#This Row],[Tipo de Servicio]]="","",Caratula!$D$15)</f>
        <v/>
      </c>
      <c r="B404" s="37" t="str">
        <f>IF(Table1[[#This Row],[Tipo de Servicio]]="","",Caratula!$D$16)</f>
        <v/>
      </c>
      <c r="C404" s="24" t="str">
        <f>IF(Table1[[#This Row],[Tipo de Servicio]]="","",Caratula!$D$17)</f>
        <v/>
      </c>
      <c r="D404" s="38" t="str">
        <f>IF(ISBLANK(Table1[[#This Row],[Tipo de Servicio]]),"",Caratula!$D$16)</f>
        <v/>
      </c>
      <c r="F404" t="str">
        <f>_xlfn.XLOOKUP(Table1[[#This Row],[SelGZ]]&amp;Table1[[#This Row],[Tipo de Servicio]],CatPEP!A:A,CatPEP!C:C,"")</f>
        <v/>
      </c>
      <c r="G404" t="str">
        <f>_xlfn.XLOOKUP(Table1[[#This Row],[PEP]],CatPEP!C:C,CatPEP!D:D,"")</f>
        <v/>
      </c>
      <c r="O404" s="53">
        <f>SUMIF('Registro Refacciones'!B:B, I404, 'Registro Refacciones'!I:I)</f>
        <v>0</v>
      </c>
      <c r="P404" s="26">
        <f>Table1[[#This Row],[Costo Servicio]]+Table1[[#This Row],[Refacciones]]</f>
        <v>0</v>
      </c>
      <c r="Q404" s="26"/>
    </row>
    <row r="405" spans="1:17">
      <c r="A405" s="37" t="str">
        <f>IF(Table1[[#This Row],[Tipo de Servicio]]="","",Caratula!$D$15)</f>
        <v/>
      </c>
      <c r="B405" s="37" t="str">
        <f>IF(Table1[[#This Row],[Tipo de Servicio]]="","",Caratula!$D$16)</f>
        <v/>
      </c>
      <c r="C405" s="24" t="str">
        <f>IF(Table1[[#This Row],[Tipo de Servicio]]="","",Caratula!$D$17)</f>
        <v/>
      </c>
      <c r="D405" s="38" t="str">
        <f>IF(ISBLANK(Table1[[#This Row],[Tipo de Servicio]]),"",Caratula!$D$16)</f>
        <v/>
      </c>
      <c r="F405" t="str">
        <f>_xlfn.XLOOKUP(Table1[[#This Row],[SelGZ]]&amp;Table1[[#This Row],[Tipo de Servicio]],CatPEP!A:A,CatPEP!C:C,"")</f>
        <v/>
      </c>
      <c r="G405" t="str">
        <f>_xlfn.XLOOKUP(Table1[[#This Row],[PEP]],CatPEP!C:C,CatPEP!D:D,"")</f>
        <v/>
      </c>
      <c r="O405" s="53">
        <f>SUMIF('Registro Refacciones'!B:B, I405, 'Registro Refacciones'!I:I)</f>
        <v>0</v>
      </c>
      <c r="P405" s="26">
        <f>Table1[[#This Row],[Costo Servicio]]+Table1[[#This Row],[Refacciones]]</f>
        <v>0</v>
      </c>
      <c r="Q405" s="26"/>
    </row>
    <row r="406" spans="1:17">
      <c r="A406" s="37" t="str">
        <f>IF(Table1[[#This Row],[Tipo de Servicio]]="","",Caratula!$D$15)</f>
        <v/>
      </c>
      <c r="B406" s="37" t="str">
        <f>IF(Table1[[#This Row],[Tipo de Servicio]]="","",Caratula!$D$16)</f>
        <v/>
      </c>
      <c r="C406" s="24" t="str">
        <f>IF(Table1[[#This Row],[Tipo de Servicio]]="","",Caratula!$D$17)</f>
        <v/>
      </c>
      <c r="D406" s="38" t="str">
        <f>IF(ISBLANK(Table1[[#This Row],[Tipo de Servicio]]),"",Caratula!$D$16)</f>
        <v/>
      </c>
      <c r="F406" t="str">
        <f>_xlfn.XLOOKUP(Table1[[#This Row],[SelGZ]]&amp;Table1[[#This Row],[Tipo de Servicio]],CatPEP!A:A,CatPEP!C:C,"")</f>
        <v/>
      </c>
      <c r="G406" t="str">
        <f>_xlfn.XLOOKUP(Table1[[#This Row],[PEP]],CatPEP!C:C,CatPEP!D:D,"")</f>
        <v/>
      </c>
      <c r="O406" s="53">
        <f>SUMIF('Registro Refacciones'!B:B, I406, 'Registro Refacciones'!I:I)</f>
        <v>0</v>
      </c>
      <c r="P406" s="26">
        <f>Table1[[#This Row],[Costo Servicio]]+Table1[[#This Row],[Refacciones]]</f>
        <v>0</v>
      </c>
      <c r="Q406" s="26"/>
    </row>
    <row r="407" spans="1:17">
      <c r="A407" s="37" t="str">
        <f>IF(Table1[[#This Row],[Tipo de Servicio]]="","",Caratula!$D$15)</f>
        <v/>
      </c>
      <c r="B407" s="37" t="str">
        <f>IF(Table1[[#This Row],[Tipo de Servicio]]="","",Caratula!$D$16)</f>
        <v/>
      </c>
      <c r="C407" s="24" t="str">
        <f>IF(Table1[[#This Row],[Tipo de Servicio]]="","",Caratula!$D$17)</f>
        <v/>
      </c>
      <c r="D407" s="38" t="str">
        <f>IF(ISBLANK(Table1[[#This Row],[Tipo de Servicio]]),"",Caratula!$D$16)</f>
        <v/>
      </c>
      <c r="F407" t="str">
        <f>_xlfn.XLOOKUP(Table1[[#This Row],[SelGZ]]&amp;Table1[[#This Row],[Tipo de Servicio]],CatPEP!A:A,CatPEP!C:C,"")</f>
        <v/>
      </c>
      <c r="G407" t="str">
        <f>_xlfn.XLOOKUP(Table1[[#This Row],[PEP]],CatPEP!C:C,CatPEP!D:D,"")</f>
        <v/>
      </c>
      <c r="O407" s="53">
        <f>SUMIF('Registro Refacciones'!B:B, I407, 'Registro Refacciones'!I:I)</f>
        <v>0</v>
      </c>
      <c r="P407" s="26">
        <f>Table1[[#This Row],[Costo Servicio]]+Table1[[#This Row],[Refacciones]]</f>
        <v>0</v>
      </c>
      <c r="Q407" s="26"/>
    </row>
    <row r="408" spans="1:17">
      <c r="A408" s="37" t="str">
        <f>IF(Table1[[#This Row],[Tipo de Servicio]]="","",Caratula!$D$15)</f>
        <v/>
      </c>
      <c r="B408" s="37" t="str">
        <f>IF(Table1[[#This Row],[Tipo de Servicio]]="","",Caratula!$D$16)</f>
        <v/>
      </c>
      <c r="C408" s="24" t="str">
        <f>IF(Table1[[#This Row],[Tipo de Servicio]]="","",Caratula!$D$17)</f>
        <v/>
      </c>
      <c r="D408" s="38" t="str">
        <f>IF(ISBLANK(Table1[[#This Row],[Tipo de Servicio]]),"",Caratula!$D$16)</f>
        <v/>
      </c>
      <c r="F408" t="str">
        <f>_xlfn.XLOOKUP(Table1[[#This Row],[SelGZ]]&amp;Table1[[#This Row],[Tipo de Servicio]],CatPEP!A:A,CatPEP!C:C,"")</f>
        <v/>
      </c>
      <c r="G408" t="str">
        <f>_xlfn.XLOOKUP(Table1[[#This Row],[PEP]],CatPEP!C:C,CatPEP!D:D,"")</f>
        <v/>
      </c>
      <c r="O408" s="53">
        <f>SUMIF('Registro Refacciones'!B:B, I408, 'Registro Refacciones'!I:I)</f>
        <v>0</v>
      </c>
      <c r="P408" s="26">
        <f>Table1[[#This Row],[Costo Servicio]]+Table1[[#This Row],[Refacciones]]</f>
        <v>0</v>
      </c>
      <c r="Q408" s="26"/>
    </row>
    <row r="409" spans="1:17">
      <c r="A409" s="37" t="str">
        <f>IF(Table1[[#This Row],[Tipo de Servicio]]="","",Caratula!$D$15)</f>
        <v/>
      </c>
      <c r="B409" s="37" t="str">
        <f>IF(Table1[[#This Row],[Tipo de Servicio]]="","",Caratula!$D$16)</f>
        <v/>
      </c>
      <c r="C409" s="24" t="str">
        <f>IF(Table1[[#This Row],[Tipo de Servicio]]="","",Caratula!$D$17)</f>
        <v/>
      </c>
      <c r="D409" s="38" t="str">
        <f>IF(ISBLANK(Table1[[#This Row],[Tipo de Servicio]]),"",Caratula!$D$16)</f>
        <v/>
      </c>
      <c r="F409" t="str">
        <f>_xlfn.XLOOKUP(Table1[[#This Row],[SelGZ]]&amp;Table1[[#This Row],[Tipo de Servicio]],CatPEP!A:A,CatPEP!C:C,"")</f>
        <v/>
      </c>
      <c r="G409" t="str">
        <f>_xlfn.XLOOKUP(Table1[[#This Row],[PEP]],CatPEP!C:C,CatPEP!D:D,"")</f>
        <v/>
      </c>
      <c r="O409" s="53">
        <f>SUMIF('Registro Refacciones'!B:B, I409, 'Registro Refacciones'!I:I)</f>
        <v>0</v>
      </c>
      <c r="P409" s="26">
        <f>Table1[[#This Row],[Costo Servicio]]+Table1[[#This Row],[Refacciones]]</f>
        <v>0</v>
      </c>
      <c r="Q409" s="26"/>
    </row>
    <row r="410" spans="1:17">
      <c r="A410" s="37" t="str">
        <f>IF(Table1[[#This Row],[Tipo de Servicio]]="","",Caratula!$D$15)</f>
        <v/>
      </c>
      <c r="B410" s="37" t="str">
        <f>IF(Table1[[#This Row],[Tipo de Servicio]]="","",Caratula!$D$16)</f>
        <v/>
      </c>
      <c r="C410" s="24" t="str">
        <f>IF(Table1[[#This Row],[Tipo de Servicio]]="","",Caratula!$D$17)</f>
        <v/>
      </c>
      <c r="D410" s="38" t="str">
        <f>IF(ISBLANK(Table1[[#This Row],[Tipo de Servicio]]),"",Caratula!$D$16)</f>
        <v/>
      </c>
      <c r="F410" t="str">
        <f>_xlfn.XLOOKUP(Table1[[#This Row],[SelGZ]]&amp;Table1[[#This Row],[Tipo de Servicio]],CatPEP!A:A,CatPEP!C:C,"")</f>
        <v/>
      </c>
      <c r="G410" t="str">
        <f>_xlfn.XLOOKUP(Table1[[#This Row],[PEP]],CatPEP!C:C,CatPEP!D:D,"")</f>
        <v/>
      </c>
      <c r="O410" s="53">
        <f>SUMIF('Registro Refacciones'!B:B, I410, 'Registro Refacciones'!I:I)</f>
        <v>0</v>
      </c>
      <c r="P410" s="26">
        <f>Table1[[#This Row],[Costo Servicio]]+Table1[[#This Row],[Refacciones]]</f>
        <v>0</v>
      </c>
      <c r="Q410" s="26"/>
    </row>
    <row r="411" spans="1:17">
      <c r="A411" s="37" t="str">
        <f>IF(Table1[[#This Row],[Tipo de Servicio]]="","",Caratula!$D$15)</f>
        <v/>
      </c>
      <c r="B411" s="37" t="str">
        <f>IF(Table1[[#This Row],[Tipo de Servicio]]="","",Caratula!$D$16)</f>
        <v/>
      </c>
      <c r="C411" s="24" t="str">
        <f>IF(Table1[[#This Row],[Tipo de Servicio]]="","",Caratula!$D$17)</f>
        <v/>
      </c>
      <c r="D411" s="38" t="str">
        <f>IF(ISBLANK(Table1[[#This Row],[Tipo de Servicio]]),"",Caratula!$D$16)</f>
        <v/>
      </c>
      <c r="F411" t="str">
        <f>_xlfn.XLOOKUP(Table1[[#This Row],[SelGZ]]&amp;Table1[[#This Row],[Tipo de Servicio]],CatPEP!A:A,CatPEP!C:C,"")</f>
        <v/>
      </c>
      <c r="G411" t="str">
        <f>_xlfn.XLOOKUP(Table1[[#This Row],[PEP]],CatPEP!C:C,CatPEP!D:D,"")</f>
        <v/>
      </c>
      <c r="O411" s="53">
        <f>SUMIF('Registro Refacciones'!B:B, I411, 'Registro Refacciones'!I:I)</f>
        <v>0</v>
      </c>
      <c r="P411" s="26">
        <f>Table1[[#This Row],[Costo Servicio]]+Table1[[#This Row],[Refacciones]]</f>
        <v>0</v>
      </c>
      <c r="Q411" s="26"/>
    </row>
    <row r="412" spans="1:17">
      <c r="A412" s="37" t="str">
        <f>IF(Table1[[#This Row],[Tipo de Servicio]]="","",Caratula!$D$15)</f>
        <v/>
      </c>
      <c r="B412" s="37" t="str">
        <f>IF(Table1[[#This Row],[Tipo de Servicio]]="","",Caratula!$D$16)</f>
        <v/>
      </c>
      <c r="C412" s="24" t="str">
        <f>IF(Table1[[#This Row],[Tipo de Servicio]]="","",Caratula!$D$17)</f>
        <v/>
      </c>
      <c r="D412" s="38" t="str">
        <f>IF(ISBLANK(Table1[[#This Row],[Tipo de Servicio]]),"",Caratula!$D$16)</f>
        <v/>
      </c>
      <c r="F412" t="str">
        <f>_xlfn.XLOOKUP(Table1[[#This Row],[SelGZ]]&amp;Table1[[#This Row],[Tipo de Servicio]],CatPEP!A:A,CatPEP!C:C,"")</f>
        <v/>
      </c>
      <c r="G412" t="str">
        <f>_xlfn.XLOOKUP(Table1[[#This Row],[PEP]],CatPEP!C:C,CatPEP!D:D,"")</f>
        <v/>
      </c>
      <c r="O412" s="53">
        <f>SUMIF('Registro Refacciones'!B:B, I412, 'Registro Refacciones'!I:I)</f>
        <v>0</v>
      </c>
      <c r="P412" s="26">
        <f>Table1[[#This Row],[Costo Servicio]]+Table1[[#This Row],[Refacciones]]</f>
        <v>0</v>
      </c>
      <c r="Q412" s="26"/>
    </row>
    <row r="413" spans="1:17">
      <c r="A413" s="37" t="str">
        <f>IF(Table1[[#This Row],[Tipo de Servicio]]="","",Caratula!$D$15)</f>
        <v/>
      </c>
      <c r="B413" s="37" t="str">
        <f>IF(Table1[[#This Row],[Tipo de Servicio]]="","",Caratula!$D$16)</f>
        <v/>
      </c>
      <c r="C413" s="24" t="str">
        <f>IF(Table1[[#This Row],[Tipo de Servicio]]="","",Caratula!$D$17)</f>
        <v/>
      </c>
      <c r="D413" s="38" t="str">
        <f>IF(ISBLANK(Table1[[#This Row],[Tipo de Servicio]]),"",Caratula!$D$16)</f>
        <v/>
      </c>
      <c r="F413" t="str">
        <f>_xlfn.XLOOKUP(Table1[[#This Row],[SelGZ]]&amp;Table1[[#This Row],[Tipo de Servicio]],CatPEP!A:A,CatPEP!C:C,"")</f>
        <v/>
      </c>
      <c r="G413" t="str">
        <f>_xlfn.XLOOKUP(Table1[[#This Row],[PEP]],CatPEP!C:C,CatPEP!D:D,"")</f>
        <v/>
      </c>
      <c r="O413" s="53">
        <f>SUMIF('Registro Refacciones'!B:B, I413, 'Registro Refacciones'!I:I)</f>
        <v>0</v>
      </c>
      <c r="P413" s="26">
        <f>Table1[[#This Row],[Costo Servicio]]+Table1[[#This Row],[Refacciones]]</f>
        <v>0</v>
      </c>
      <c r="Q413" s="26"/>
    </row>
    <row r="414" spans="1:17">
      <c r="A414" s="37" t="str">
        <f>IF(Table1[[#This Row],[Tipo de Servicio]]="","",Caratula!$D$15)</f>
        <v/>
      </c>
      <c r="B414" s="37" t="str">
        <f>IF(Table1[[#This Row],[Tipo de Servicio]]="","",Caratula!$D$16)</f>
        <v/>
      </c>
      <c r="C414" s="24" t="str">
        <f>IF(Table1[[#This Row],[Tipo de Servicio]]="","",Caratula!$D$17)</f>
        <v/>
      </c>
      <c r="D414" s="38" t="str">
        <f>IF(ISBLANK(Table1[[#This Row],[Tipo de Servicio]]),"",Caratula!$D$16)</f>
        <v/>
      </c>
      <c r="F414" t="str">
        <f>_xlfn.XLOOKUP(Table1[[#This Row],[SelGZ]]&amp;Table1[[#This Row],[Tipo de Servicio]],CatPEP!A:A,CatPEP!C:C,"")</f>
        <v/>
      </c>
      <c r="G414" t="str">
        <f>_xlfn.XLOOKUP(Table1[[#This Row],[PEP]],CatPEP!C:C,CatPEP!D:D,"")</f>
        <v/>
      </c>
      <c r="O414" s="53">
        <f>SUMIF('Registro Refacciones'!B:B, I414, 'Registro Refacciones'!I:I)</f>
        <v>0</v>
      </c>
      <c r="P414" s="26">
        <f>Table1[[#This Row],[Costo Servicio]]+Table1[[#This Row],[Refacciones]]</f>
        <v>0</v>
      </c>
      <c r="Q414" s="26"/>
    </row>
    <row r="415" spans="1:17">
      <c r="A415" s="37" t="str">
        <f>IF(Table1[[#This Row],[Tipo de Servicio]]="","",Caratula!$D$15)</f>
        <v/>
      </c>
      <c r="B415" s="37" t="str">
        <f>IF(Table1[[#This Row],[Tipo de Servicio]]="","",Caratula!$D$16)</f>
        <v/>
      </c>
      <c r="C415" s="24" t="str">
        <f>IF(Table1[[#This Row],[Tipo de Servicio]]="","",Caratula!$D$17)</f>
        <v/>
      </c>
      <c r="D415" s="38" t="str">
        <f>IF(ISBLANK(Table1[[#This Row],[Tipo de Servicio]]),"",Caratula!$D$16)</f>
        <v/>
      </c>
      <c r="F415" t="str">
        <f>_xlfn.XLOOKUP(Table1[[#This Row],[SelGZ]]&amp;Table1[[#This Row],[Tipo de Servicio]],CatPEP!A:A,CatPEP!C:C,"")</f>
        <v/>
      </c>
      <c r="G415" t="str">
        <f>_xlfn.XLOOKUP(Table1[[#This Row],[PEP]],CatPEP!C:C,CatPEP!D:D,"")</f>
        <v/>
      </c>
      <c r="O415" s="53">
        <f>SUMIF('Registro Refacciones'!B:B, I415, 'Registro Refacciones'!I:I)</f>
        <v>0</v>
      </c>
      <c r="P415" s="26">
        <f>Table1[[#This Row],[Costo Servicio]]+Table1[[#This Row],[Refacciones]]</f>
        <v>0</v>
      </c>
      <c r="Q415" s="26"/>
    </row>
    <row r="416" spans="1:17">
      <c r="A416" s="37" t="str">
        <f>IF(Table1[[#This Row],[Tipo de Servicio]]="","",Caratula!$D$15)</f>
        <v/>
      </c>
      <c r="B416" s="37" t="str">
        <f>IF(Table1[[#This Row],[Tipo de Servicio]]="","",Caratula!$D$16)</f>
        <v/>
      </c>
      <c r="C416" s="24" t="str">
        <f>IF(Table1[[#This Row],[Tipo de Servicio]]="","",Caratula!$D$17)</f>
        <v/>
      </c>
      <c r="D416" s="38" t="str">
        <f>IF(ISBLANK(Table1[[#This Row],[Tipo de Servicio]]),"",Caratula!$D$16)</f>
        <v/>
      </c>
      <c r="F416" t="str">
        <f>_xlfn.XLOOKUP(Table1[[#This Row],[SelGZ]]&amp;Table1[[#This Row],[Tipo de Servicio]],CatPEP!A:A,CatPEP!C:C,"")</f>
        <v/>
      </c>
      <c r="G416" t="str">
        <f>_xlfn.XLOOKUP(Table1[[#This Row],[PEP]],CatPEP!C:C,CatPEP!D:D,"")</f>
        <v/>
      </c>
      <c r="O416" s="53">
        <f>SUMIF('Registro Refacciones'!B:B, I416, 'Registro Refacciones'!I:I)</f>
        <v>0</v>
      </c>
      <c r="P416" s="26">
        <f>Table1[[#This Row],[Costo Servicio]]+Table1[[#This Row],[Refacciones]]</f>
        <v>0</v>
      </c>
      <c r="Q416" s="26"/>
    </row>
    <row r="417" spans="1:17">
      <c r="A417" s="37" t="str">
        <f>IF(Table1[[#This Row],[Tipo de Servicio]]="","",Caratula!$D$15)</f>
        <v/>
      </c>
      <c r="B417" s="37" t="str">
        <f>IF(Table1[[#This Row],[Tipo de Servicio]]="","",Caratula!$D$16)</f>
        <v/>
      </c>
      <c r="C417" s="24" t="str">
        <f>IF(Table1[[#This Row],[Tipo de Servicio]]="","",Caratula!$D$17)</f>
        <v/>
      </c>
      <c r="D417" s="38" t="str">
        <f>IF(ISBLANK(Table1[[#This Row],[Tipo de Servicio]]),"",Caratula!$D$16)</f>
        <v/>
      </c>
      <c r="F417" t="str">
        <f>_xlfn.XLOOKUP(Table1[[#This Row],[SelGZ]]&amp;Table1[[#This Row],[Tipo de Servicio]],CatPEP!A:A,CatPEP!C:C,"")</f>
        <v/>
      </c>
      <c r="G417" t="str">
        <f>_xlfn.XLOOKUP(Table1[[#This Row],[PEP]],CatPEP!C:C,CatPEP!D:D,"")</f>
        <v/>
      </c>
      <c r="O417" s="53">
        <f>SUMIF('Registro Refacciones'!B:B, I417, 'Registro Refacciones'!I:I)</f>
        <v>0</v>
      </c>
      <c r="P417" s="26">
        <f>Table1[[#This Row],[Costo Servicio]]+Table1[[#This Row],[Refacciones]]</f>
        <v>0</v>
      </c>
      <c r="Q417" s="26"/>
    </row>
    <row r="418" spans="1:17">
      <c r="A418" s="37" t="str">
        <f>IF(Table1[[#This Row],[Tipo de Servicio]]="","",Caratula!$D$15)</f>
        <v/>
      </c>
      <c r="B418" s="37" t="str">
        <f>IF(Table1[[#This Row],[Tipo de Servicio]]="","",Caratula!$D$16)</f>
        <v/>
      </c>
      <c r="C418" s="24" t="str">
        <f>IF(Table1[[#This Row],[Tipo de Servicio]]="","",Caratula!$D$17)</f>
        <v/>
      </c>
      <c r="D418" s="38" t="str">
        <f>IF(ISBLANK(Table1[[#This Row],[Tipo de Servicio]]),"",Caratula!$D$16)</f>
        <v/>
      </c>
      <c r="F418" t="str">
        <f>_xlfn.XLOOKUP(Table1[[#This Row],[SelGZ]]&amp;Table1[[#This Row],[Tipo de Servicio]],CatPEP!A:A,CatPEP!C:C,"")</f>
        <v/>
      </c>
      <c r="G418" t="str">
        <f>_xlfn.XLOOKUP(Table1[[#This Row],[PEP]],CatPEP!C:C,CatPEP!D:D,"")</f>
        <v/>
      </c>
      <c r="O418" s="53">
        <f>SUMIF('Registro Refacciones'!B:B, I418, 'Registro Refacciones'!I:I)</f>
        <v>0</v>
      </c>
      <c r="P418" s="26">
        <f>Table1[[#This Row],[Costo Servicio]]+Table1[[#This Row],[Refacciones]]</f>
        <v>0</v>
      </c>
      <c r="Q418" s="26"/>
    </row>
    <row r="419" spans="1:17">
      <c r="A419" s="37" t="str">
        <f>IF(Table1[[#This Row],[Tipo de Servicio]]="","",Caratula!$D$15)</f>
        <v/>
      </c>
      <c r="B419" s="37" t="str">
        <f>IF(Table1[[#This Row],[Tipo de Servicio]]="","",Caratula!$D$16)</f>
        <v/>
      </c>
      <c r="C419" s="24" t="str">
        <f>IF(Table1[[#This Row],[Tipo de Servicio]]="","",Caratula!$D$17)</f>
        <v/>
      </c>
      <c r="D419" s="38" t="str">
        <f>IF(ISBLANK(Table1[[#This Row],[Tipo de Servicio]]),"",Caratula!$D$16)</f>
        <v/>
      </c>
      <c r="F419" t="str">
        <f>_xlfn.XLOOKUP(Table1[[#This Row],[SelGZ]]&amp;Table1[[#This Row],[Tipo de Servicio]],CatPEP!A:A,CatPEP!C:C,"")</f>
        <v/>
      </c>
      <c r="G419" t="str">
        <f>_xlfn.XLOOKUP(Table1[[#This Row],[PEP]],CatPEP!C:C,CatPEP!D:D,"")</f>
        <v/>
      </c>
      <c r="O419" s="53">
        <f>SUMIF('Registro Refacciones'!B:B, I419, 'Registro Refacciones'!I:I)</f>
        <v>0</v>
      </c>
      <c r="P419" s="26">
        <f>Table1[[#This Row],[Costo Servicio]]+Table1[[#This Row],[Refacciones]]</f>
        <v>0</v>
      </c>
      <c r="Q419" s="26"/>
    </row>
    <row r="420" spans="1:17">
      <c r="A420" s="37" t="str">
        <f>IF(Table1[[#This Row],[Tipo de Servicio]]="","",Caratula!$D$15)</f>
        <v/>
      </c>
      <c r="B420" s="37" t="str">
        <f>IF(Table1[[#This Row],[Tipo de Servicio]]="","",Caratula!$D$16)</f>
        <v/>
      </c>
      <c r="C420" s="24" t="str">
        <f>IF(Table1[[#This Row],[Tipo de Servicio]]="","",Caratula!$D$17)</f>
        <v/>
      </c>
      <c r="D420" s="38" t="str">
        <f>IF(ISBLANK(Table1[[#This Row],[Tipo de Servicio]]),"",Caratula!$D$16)</f>
        <v/>
      </c>
      <c r="F420" t="str">
        <f>_xlfn.XLOOKUP(Table1[[#This Row],[SelGZ]]&amp;Table1[[#This Row],[Tipo de Servicio]],CatPEP!A:A,CatPEP!C:C,"")</f>
        <v/>
      </c>
      <c r="G420" t="str">
        <f>_xlfn.XLOOKUP(Table1[[#This Row],[PEP]],CatPEP!C:C,CatPEP!D:D,"")</f>
        <v/>
      </c>
      <c r="O420" s="53">
        <f>SUMIF('Registro Refacciones'!B:B, I420, 'Registro Refacciones'!I:I)</f>
        <v>0</v>
      </c>
      <c r="P420" s="26">
        <f>Table1[[#This Row],[Costo Servicio]]+Table1[[#This Row],[Refacciones]]</f>
        <v>0</v>
      </c>
      <c r="Q420" s="26"/>
    </row>
    <row r="421" spans="1:17">
      <c r="A421" s="37" t="str">
        <f>IF(Table1[[#This Row],[Tipo de Servicio]]="","",Caratula!$D$15)</f>
        <v/>
      </c>
      <c r="B421" s="37" t="str">
        <f>IF(Table1[[#This Row],[Tipo de Servicio]]="","",Caratula!$D$16)</f>
        <v/>
      </c>
      <c r="C421" s="24" t="str">
        <f>IF(Table1[[#This Row],[Tipo de Servicio]]="","",Caratula!$D$17)</f>
        <v/>
      </c>
      <c r="D421" s="38" t="str">
        <f>IF(ISBLANK(Table1[[#This Row],[Tipo de Servicio]]),"",Caratula!$D$16)</f>
        <v/>
      </c>
      <c r="F421" t="str">
        <f>_xlfn.XLOOKUP(Table1[[#This Row],[SelGZ]]&amp;Table1[[#This Row],[Tipo de Servicio]],CatPEP!A:A,CatPEP!C:C,"")</f>
        <v/>
      </c>
      <c r="G421" t="str">
        <f>_xlfn.XLOOKUP(Table1[[#This Row],[PEP]],CatPEP!C:C,CatPEP!D:D,"")</f>
        <v/>
      </c>
      <c r="O421" s="53">
        <f>SUMIF('Registro Refacciones'!B:B, I421, 'Registro Refacciones'!I:I)</f>
        <v>0</v>
      </c>
      <c r="P421" s="26">
        <f>Table1[[#This Row],[Costo Servicio]]+Table1[[#This Row],[Refacciones]]</f>
        <v>0</v>
      </c>
      <c r="Q421" s="26"/>
    </row>
    <row r="422" spans="1:17">
      <c r="A422" s="37" t="str">
        <f>IF(Table1[[#This Row],[Tipo de Servicio]]="","",Caratula!$D$15)</f>
        <v/>
      </c>
      <c r="B422" s="37" t="str">
        <f>IF(Table1[[#This Row],[Tipo de Servicio]]="","",Caratula!$D$16)</f>
        <v/>
      </c>
      <c r="C422" s="24" t="str">
        <f>IF(Table1[[#This Row],[Tipo de Servicio]]="","",Caratula!$D$17)</f>
        <v/>
      </c>
      <c r="D422" s="38" t="str">
        <f>IF(ISBLANK(Table1[[#This Row],[Tipo de Servicio]]),"",Caratula!$D$16)</f>
        <v/>
      </c>
      <c r="F422" t="str">
        <f>_xlfn.XLOOKUP(Table1[[#This Row],[SelGZ]]&amp;Table1[[#This Row],[Tipo de Servicio]],CatPEP!A:A,CatPEP!C:C,"")</f>
        <v/>
      </c>
      <c r="G422" t="str">
        <f>_xlfn.XLOOKUP(Table1[[#This Row],[PEP]],CatPEP!C:C,CatPEP!D:D,"")</f>
        <v/>
      </c>
      <c r="O422" s="53">
        <f>SUMIF('Registro Refacciones'!B:B, I422, 'Registro Refacciones'!I:I)</f>
        <v>0</v>
      </c>
      <c r="P422" s="26">
        <f>Table1[[#This Row],[Costo Servicio]]+Table1[[#This Row],[Refacciones]]</f>
        <v>0</v>
      </c>
      <c r="Q422" s="26"/>
    </row>
    <row r="423" spans="1:17">
      <c r="A423" s="37" t="str">
        <f>IF(Table1[[#This Row],[Tipo de Servicio]]="","",Caratula!$D$15)</f>
        <v/>
      </c>
      <c r="B423" s="37" t="str">
        <f>IF(Table1[[#This Row],[Tipo de Servicio]]="","",Caratula!$D$16)</f>
        <v/>
      </c>
      <c r="C423" s="24" t="str">
        <f>IF(Table1[[#This Row],[Tipo de Servicio]]="","",Caratula!$D$17)</f>
        <v/>
      </c>
      <c r="D423" s="38" t="str">
        <f>IF(ISBLANK(Table1[[#This Row],[Tipo de Servicio]]),"",Caratula!$D$16)</f>
        <v/>
      </c>
      <c r="F423" t="str">
        <f>_xlfn.XLOOKUP(Table1[[#This Row],[SelGZ]]&amp;Table1[[#This Row],[Tipo de Servicio]],CatPEP!A:A,CatPEP!C:C,"")</f>
        <v/>
      </c>
      <c r="G423" t="str">
        <f>_xlfn.XLOOKUP(Table1[[#This Row],[PEP]],CatPEP!C:C,CatPEP!D:D,"")</f>
        <v/>
      </c>
      <c r="O423" s="53">
        <f>SUMIF('Registro Refacciones'!B:B, I423, 'Registro Refacciones'!I:I)</f>
        <v>0</v>
      </c>
      <c r="P423" s="26">
        <f>Table1[[#This Row],[Costo Servicio]]+Table1[[#This Row],[Refacciones]]</f>
        <v>0</v>
      </c>
      <c r="Q423" s="26"/>
    </row>
    <row r="424" spans="1:17">
      <c r="A424" s="37" t="str">
        <f>IF(Table1[[#This Row],[Tipo de Servicio]]="","",Caratula!$D$15)</f>
        <v/>
      </c>
      <c r="B424" s="37" t="str">
        <f>IF(Table1[[#This Row],[Tipo de Servicio]]="","",Caratula!$D$16)</f>
        <v/>
      </c>
      <c r="C424" s="24" t="str">
        <f>IF(Table1[[#This Row],[Tipo de Servicio]]="","",Caratula!$D$17)</f>
        <v/>
      </c>
      <c r="D424" s="38" t="str">
        <f>IF(ISBLANK(Table1[[#This Row],[Tipo de Servicio]]),"",Caratula!$D$16)</f>
        <v/>
      </c>
      <c r="F424" t="str">
        <f>_xlfn.XLOOKUP(Table1[[#This Row],[SelGZ]]&amp;Table1[[#This Row],[Tipo de Servicio]],CatPEP!A:A,CatPEP!C:C,"")</f>
        <v/>
      </c>
      <c r="G424" t="str">
        <f>_xlfn.XLOOKUP(Table1[[#This Row],[PEP]],CatPEP!C:C,CatPEP!D:D,"")</f>
        <v/>
      </c>
      <c r="O424" s="53">
        <f>SUMIF('Registro Refacciones'!B:B, I424, 'Registro Refacciones'!I:I)</f>
        <v>0</v>
      </c>
      <c r="P424" s="26">
        <f>Table1[[#This Row],[Costo Servicio]]+Table1[[#This Row],[Refacciones]]</f>
        <v>0</v>
      </c>
      <c r="Q424" s="26"/>
    </row>
    <row r="425" spans="1:17">
      <c r="A425" s="37" t="str">
        <f>IF(Table1[[#This Row],[Tipo de Servicio]]="","",Caratula!$D$15)</f>
        <v/>
      </c>
      <c r="B425" s="37" t="str">
        <f>IF(Table1[[#This Row],[Tipo de Servicio]]="","",Caratula!$D$16)</f>
        <v/>
      </c>
      <c r="C425" s="24" t="str">
        <f>IF(Table1[[#This Row],[Tipo de Servicio]]="","",Caratula!$D$17)</f>
        <v/>
      </c>
      <c r="D425" s="38" t="str">
        <f>IF(ISBLANK(Table1[[#This Row],[Tipo de Servicio]]),"",Caratula!$D$16)</f>
        <v/>
      </c>
      <c r="F425" t="str">
        <f>_xlfn.XLOOKUP(Table1[[#This Row],[SelGZ]]&amp;Table1[[#This Row],[Tipo de Servicio]],CatPEP!A:A,CatPEP!C:C,"")</f>
        <v/>
      </c>
      <c r="G425" t="str">
        <f>_xlfn.XLOOKUP(Table1[[#This Row],[PEP]],CatPEP!C:C,CatPEP!D:D,"")</f>
        <v/>
      </c>
      <c r="O425" s="53">
        <f>SUMIF('Registro Refacciones'!B:B, I425, 'Registro Refacciones'!I:I)</f>
        <v>0</v>
      </c>
      <c r="P425" s="26">
        <f>Table1[[#This Row],[Costo Servicio]]+Table1[[#This Row],[Refacciones]]</f>
        <v>0</v>
      </c>
      <c r="Q425" s="26"/>
    </row>
    <row r="426" spans="1:17">
      <c r="A426" s="37" t="str">
        <f>IF(Table1[[#This Row],[Tipo de Servicio]]="","",Caratula!$D$15)</f>
        <v/>
      </c>
      <c r="B426" s="37" t="str">
        <f>IF(Table1[[#This Row],[Tipo de Servicio]]="","",Caratula!$D$16)</f>
        <v/>
      </c>
      <c r="C426" s="24" t="str">
        <f>IF(Table1[[#This Row],[Tipo de Servicio]]="","",Caratula!$D$17)</f>
        <v/>
      </c>
      <c r="D426" s="38" t="str">
        <f>IF(ISBLANK(Table1[[#This Row],[Tipo de Servicio]]),"",Caratula!$D$16)</f>
        <v/>
      </c>
      <c r="F426" t="str">
        <f>_xlfn.XLOOKUP(Table1[[#This Row],[SelGZ]]&amp;Table1[[#This Row],[Tipo de Servicio]],CatPEP!A:A,CatPEP!C:C,"")</f>
        <v/>
      </c>
      <c r="G426" t="str">
        <f>_xlfn.XLOOKUP(Table1[[#This Row],[PEP]],CatPEP!C:C,CatPEP!D:D,"")</f>
        <v/>
      </c>
      <c r="O426" s="53">
        <f>SUMIF('Registro Refacciones'!B:B, I426, 'Registro Refacciones'!I:I)</f>
        <v>0</v>
      </c>
      <c r="P426" s="26">
        <f>Table1[[#This Row],[Costo Servicio]]+Table1[[#This Row],[Refacciones]]</f>
        <v>0</v>
      </c>
      <c r="Q426" s="26"/>
    </row>
    <row r="427" spans="1:17">
      <c r="A427" s="37" t="str">
        <f>IF(Table1[[#This Row],[Tipo de Servicio]]="","",Caratula!$D$15)</f>
        <v/>
      </c>
      <c r="B427" s="37" t="str">
        <f>IF(Table1[[#This Row],[Tipo de Servicio]]="","",Caratula!$D$16)</f>
        <v/>
      </c>
      <c r="C427" s="24" t="str">
        <f>IF(Table1[[#This Row],[Tipo de Servicio]]="","",Caratula!$D$17)</f>
        <v/>
      </c>
      <c r="D427" s="38" t="str">
        <f>IF(ISBLANK(Table1[[#This Row],[Tipo de Servicio]]),"",Caratula!$D$16)</f>
        <v/>
      </c>
      <c r="F427" t="str">
        <f>_xlfn.XLOOKUP(Table1[[#This Row],[SelGZ]]&amp;Table1[[#This Row],[Tipo de Servicio]],CatPEP!A:A,CatPEP!C:C,"")</f>
        <v/>
      </c>
      <c r="G427" t="str">
        <f>_xlfn.XLOOKUP(Table1[[#This Row],[PEP]],CatPEP!C:C,CatPEP!D:D,"")</f>
        <v/>
      </c>
      <c r="O427" s="53">
        <f>SUMIF('Registro Refacciones'!B:B, I427, 'Registro Refacciones'!I:I)</f>
        <v>0</v>
      </c>
      <c r="P427" s="26">
        <f>Table1[[#This Row],[Costo Servicio]]+Table1[[#This Row],[Refacciones]]</f>
        <v>0</v>
      </c>
      <c r="Q427" s="26"/>
    </row>
    <row r="428" spans="1:17">
      <c r="A428" s="37" t="str">
        <f>IF(Table1[[#This Row],[Tipo de Servicio]]="","",Caratula!$D$15)</f>
        <v/>
      </c>
      <c r="B428" s="37" t="str">
        <f>IF(Table1[[#This Row],[Tipo de Servicio]]="","",Caratula!$D$16)</f>
        <v/>
      </c>
      <c r="C428" s="24" t="str">
        <f>IF(Table1[[#This Row],[Tipo de Servicio]]="","",Caratula!$D$17)</f>
        <v/>
      </c>
      <c r="D428" s="38" t="str">
        <f>IF(ISBLANK(Table1[[#This Row],[Tipo de Servicio]]),"",Caratula!$D$16)</f>
        <v/>
      </c>
      <c r="F428" t="str">
        <f>_xlfn.XLOOKUP(Table1[[#This Row],[SelGZ]]&amp;Table1[[#This Row],[Tipo de Servicio]],CatPEP!A:A,CatPEP!C:C,"")</f>
        <v/>
      </c>
      <c r="G428" t="str">
        <f>_xlfn.XLOOKUP(Table1[[#This Row],[PEP]],CatPEP!C:C,CatPEP!D:D,"")</f>
        <v/>
      </c>
      <c r="O428" s="53">
        <f>SUMIF('Registro Refacciones'!B:B, I428, 'Registro Refacciones'!I:I)</f>
        <v>0</v>
      </c>
      <c r="P428" s="26">
        <f>Table1[[#This Row],[Costo Servicio]]+Table1[[#This Row],[Refacciones]]</f>
        <v>0</v>
      </c>
      <c r="Q428" s="26"/>
    </row>
    <row r="429" spans="1:17">
      <c r="A429" s="37" t="str">
        <f>IF(Table1[[#This Row],[Tipo de Servicio]]="","",Caratula!$D$15)</f>
        <v/>
      </c>
      <c r="B429" s="37" t="str">
        <f>IF(Table1[[#This Row],[Tipo de Servicio]]="","",Caratula!$D$16)</f>
        <v/>
      </c>
      <c r="C429" s="24" t="str">
        <f>IF(Table1[[#This Row],[Tipo de Servicio]]="","",Caratula!$D$17)</f>
        <v/>
      </c>
      <c r="D429" s="38" t="str">
        <f>IF(ISBLANK(Table1[[#This Row],[Tipo de Servicio]]),"",Caratula!$D$16)</f>
        <v/>
      </c>
      <c r="F429" t="str">
        <f>_xlfn.XLOOKUP(Table1[[#This Row],[SelGZ]]&amp;Table1[[#This Row],[Tipo de Servicio]],CatPEP!A:A,CatPEP!C:C,"")</f>
        <v/>
      </c>
      <c r="G429" t="str">
        <f>_xlfn.XLOOKUP(Table1[[#This Row],[PEP]],CatPEP!C:C,CatPEP!D:D,"")</f>
        <v/>
      </c>
      <c r="O429" s="53">
        <f>SUMIF('Registro Refacciones'!B:B, I429, 'Registro Refacciones'!I:I)</f>
        <v>0</v>
      </c>
      <c r="P429" s="26">
        <f>Table1[[#This Row],[Costo Servicio]]+Table1[[#This Row],[Refacciones]]</f>
        <v>0</v>
      </c>
      <c r="Q429" s="26"/>
    </row>
    <row r="430" spans="1:17">
      <c r="A430" s="37" t="str">
        <f>IF(Table1[[#This Row],[Tipo de Servicio]]="","",Caratula!$D$15)</f>
        <v/>
      </c>
      <c r="B430" s="37" t="str">
        <f>IF(Table1[[#This Row],[Tipo de Servicio]]="","",Caratula!$D$16)</f>
        <v/>
      </c>
      <c r="C430" s="24" t="str">
        <f>IF(Table1[[#This Row],[Tipo de Servicio]]="","",Caratula!$D$17)</f>
        <v/>
      </c>
      <c r="D430" s="38" t="str">
        <f>IF(ISBLANK(Table1[[#This Row],[Tipo de Servicio]]),"",Caratula!$D$16)</f>
        <v/>
      </c>
      <c r="F430" t="str">
        <f>_xlfn.XLOOKUP(Table1[[#This Row],[SelGZ]]&amp;Table1[[#This Row],[Tipo de Servicio]],CatPEP!A:A,CatPEP!C:C,"")</f>
        <v/>
      </c>
      <c r="G430" t="str">
        <f>_xlfn.XLOOKUP(Table1[[#This Row],[PEP]],CatPEP!C:C,CatPEP!D:D,"")</f>
        <v/>
      </c>
      <c r="O430" s="53">
        <f>SUMIF('Registro Refacciones'!B:B, I430, 'Registro Refacciones'!I:I)</f>
        <v>0</v>
      </c>
      <c r="P430" s="26">
        <f>Table1[[#This Row],[Costo Servicio]]+Table1[[#This Row],[Refacciones]]</f>
        <v>0</v>
      </c>
      <c r="Q430" s="26"/>
    </row>
    <row r="431" spans="1:17">
      <c r="A431" s="37" t="str">
        <f>IF(Table1[[#This Row],[Tipo de Servicio]]="","",Caratula!$D$15)</f>
        <v/>
      </c>
      <c r="B431" s="37" t="str">
        <f>IF(Table1[[#This Row],[Tipo de Servicio]]="","",Caratula!$D$16)</f>
        <v/>
      </c>
      <c r="C431" s="24" t="str">
        <f>IF(Table1[[#This Row],[Tipo de Servicio]]="","",Caratula!$D$17)</f>
        <v/>
      </c>
      <c r="D431" s="38" t="str">
        <f>IF(ISBLANK(Table1[[#This Row],[Tipo de Servicio]]),"",Caratula!$D$16)</f>
        <v/>
      </c>
      <c r="F431" t="str">
        <f>_xlfn.XLOOKUP(Table1[[#This Row],[SelGZ]]&amp;Table1[[#This Row],[Tipo de Servicio]],CatPEP!A:A,CatPEP!C:C,"")</f>
        <v/>
      </c>
      <c r="G431" t="str">
        <f>_xlfn.XLOOKUP(Table1[[#This Row],[PEP]],CatPEP!C:C,CatPEP!D:D,"")</f>
        <v/>
      </c>
      <c r="O431" s="53">
        <f>SUMIF('Registro Refacciones'!B:B, I431, 'Registro Refacciones'!I:I)</f>
        <v>0</v>
      </c>
      <c r="P431" s="26">
        <f>Table1[[#This Row],[Costo Servicio]]+Table1[[#This Row],[Refacciones]]</f>
        <v>0</v>
      </c>
      <c r="Q431" s="26"/>
    </row>
    <row r="432" spans="1:17">
      <c r="A432" s="37" t="str">
        <f>IF(Table1[[#This Row],[Tipo de Servicio]]="","",Caratula!$D$15)</f>
        <v/>
      </c>
      <c r="B432" s="37" t="str">
        <f>IF(Table1[[#This Row],[Tipo de Servicio]]="","",Caratula!$D$16)</f>
        <v/>
      </c>
      <c r="C432" s="24" t="str">
        <f>IF(Table1[[#This Row],[Tipo de Servicio]]="","",Caratula!$D$17)</f>
        <v/>
      </c>
      <c r="D432" s="38" t="str">
        <f>IF(ISBLANK(Table1[[#This Row],[Tipo de Servicio]]),"",Caratula!$D$16)</f>
        <v/>
      </c>
      <c r="F432" t="str">
        <f>_xlfn.XLOOKUP(Table1[[#This Row],[SelGZ]]&amp;Table1[[#This Row],[Tipo de Servicio]],CatPEP!A:A,CatPEP!C:C,"")</f>
        <v/>
      </c>
      <c r="G432" t="str">
        <f>_xlfn.XLOOKUP(Table1[[#This Row],[PEP]],CatPEP!C:C,CatPEP!D:D,"")</f>
        <v/>
      </c>
      <c r="O432" s="53">
        <f>SUMIF('Registro Refacciones'!B:B, I432, 'Registro Refacciones'!I:I)</f>
        <v>0</v>
      </c>
      <c r="P432" s="26">
        <f>Table1[[#This Row],[Costo Servicio]]+Table1[[#This Row],[Refacciones]]</f>
        <v>0</v>
      </c>
      <c r="Q432" s="26"/>
    </row>
    <row r="433" spans="1:17">
      <c r="A433" s="37" t="str">
        <f>IF(Table1[[#This Row],[Tipo de Servicio]]="","",Caratula!$D$15)</f>
        <v/>
      </c>
      <c r="B433" s="37" t="str">
        <f>IF(Table1[[#This Row],[Tipo de Servicio]]="","",Caratula!$D$16)</f>
        <v/>
      </c>
      <c r="C433" s="24" t="str">
        <f>IF(Table1[[#This Row],[Tipo de Servicio]]="","",Caratula!$D$17)</f>
        <v/>
      </c>
      <c r="D433" s="38" t="str">
        <f>IF(ISBLANK(Table1[[#This Row],[Tipo de Servicio]]),"",Caratula!$D$16)</f>
        <v/>
      </c>
      <c r="F433" t="str">
        <f>_xlfn.XLOOKUP(Table1[[#This Row],[SelGZ]]&amp;Table1[[#This Row],[Tipo de Servicio]],CatPEP!A:A,CatPEP!C:C,"")</f>
        <v/>
      </c>
      <c r="G433" t="str">
        <f>_xlfn.XLOOKUP(Table1[[#This Row],[PEP]],CatPEP!C:C,CatPEP!D:D,"")</f>
        <v/>
      </c>
      <c r="O433" s="53">
        <f>SUMIF('Registro Refacciones'!B:B, I433, 'Registro Refacciones'!I:I)</f>
        <v>0</v>
      </c>
      <c r="P433" s="26">
        <f>Table1[[#This Row],[Costo Servicio]]+Table1[[#This Row],[Refacciones]]</f>
        <v>0</v>
      </c>
      <c r="Q433" s="26"/>
    </row>
    <row r="434" spans="1:17">
      <c r="A434" s="37" t="str">
        <f>IF(Table1[[#This Row],[Tipo de Servicio]]="","",Caratula!$D$15)</f>
        <v/>
      </c>
      <c r="B434" s="37" t="str">
        <f>IF(Table1[[#This Row],[Tipo de Servicio]]="","",Caratula!$D$16)</f>
        <v/>
      </c>
      <c r="C434" s="24" t="str">
        <f>IF(Table1[[#This Row],[Tipo de Servicio]]="","",Caratula!$D$17)</f>
        <v/>
      </c>
      <c r="D434" s="38" t="str">
        <f>IF(ISBLANK(Table1[[#This Row],[Tipo de Servicio]]),"",Caratula!$D$16)</f>
        <v/>
      </c>
      <c r="F434" t="str">
        <f>_xlfn.XLOOKUP(Table1[[#This Row],[SelGZ]]&amp;Table1[[#This Row],[Tipo de Servicio]],CatPEP!A:A,CatPEP!C:C,"")</f>
        <v/>
      </c>
      <c r="G434" t="str">
        <f>_xlfn.XLOOKUP(Table1[[#This Row],[PEP]],CatPEP!C:C,CatPEP!D:D,"")</f>
        <v/>
      </c>
      <c r="O434" s="53">
        <f>SUMIF('Registro Refacciones'!B:B, I434, 'Registro Refacciones'!I:I)</f>
        <v>0</v>
      </c>
      <c r="P434" s="26">
        <f>Table1[[#This Row],[Costo Servicio]]+Table1[[#This Row],[Refacciones]]</f>
        <v>0</v>
      </c>
      <c r="Q434" s="26"/>
    </row>
    <row r="435" spans="1:17">
      <c r="A435" s="37" t="str">
        <f>IF(Table1[[#This Row],[Tipo de Servicio]]="","",Caratula!$D$15)</f>
        <v/>
      </c>
      <c r="B435" s="37" t="str">
        <f>IF(Table1[[#This Row],[Tipo de Servicio]]="","",Caratula!$D$16)</f>
        <v/>
      </c>
      <c r="C435" s="24" t="str">
        <f>IF(Table1[[#This Row],[Tipo de Servicio]]="","",Caratula!$D$17)</f>
        <v/>
      </c>
      <c r="D435" s="38" t="str">
        <f>IF(ISBLANK(Table1[[#This Row],[Tipo de Servicio]]),"",Caratula!$D$16)</f>
        <v/>
      </c>
      <c r="F435" t="str">
        <f>_xlfn.XLOOKUP(Table1[[#This Row],[SelGZ]]&amp;Table1[[#This Row],[Tipo de Servicio]],CatPEP!A:A,CatPEP!C:C,"")</f>
        <v/>
      </c>
      <c r="G435" t="str">
        <f>_xlfn.XLOOKUP(Table1[[#This Row],[PEP]],CatPEP!C:C,CatPEP!D:D,"")</f>
        <v/>
      </c>
      <c r="O435" s="53">
        <f>SUMIF('Registro Refacciones'!B:B, I435, 'Registro Refacciones'!I:I)</f>
        <v>0</v>
      </c>
      <c r="P435" s="26">
        <f>Table1[[#This Row],[Costo Servicio]]+Table1[[#This Row],[Refacciones]]</f>
        <v>0</v>
      </c>
      <c r="Q435" s="26"/>
    </row>
    <row r="436" spans="1:17">
      <c r="A436" s="37" t="str">
        <f>IF(Table1[[#This Row],[Tipo de Servicio]]="","",Caratula!$D$15)</f>
        <v/>
      </c>
      <c r="B436" s="37" t="str">
        <f>IF(Table1[[#This Row],[Tipo de Servicio]]="","",Caratula!$D$16)</f>
        <v/>
      </c>
      <c r="C436" s="24" t="str">
        <f>IF(Table1[[#This Row],[Tipo de Servicio]]="","",Caratula!$D$17)</f>
        <v/>
      </c>
      <c r="D436" s="38" t="str">
        <f>IF(ISBLANK(Table1[[#This Row],[Tipo de Servicio]]),"",Caratula!$D$16)</f>
        <v/>
      </c>
      <c r="F436" t="str">
        <f>_xlfn.XLOOKUP(Table1[[#This Row],[SelGZ]]&amp;Table1[[#This Row],[Tipo de Servicio]],CatPEP!A:A,CatPEP!C:C,"")</f>
        <v/>
      </c>
      <c r="G436" t="str">
        <f>_xlfn.XLOOKUP(Table1[[#This Row],[PEP]],CatPEP!C:C,CatPEP!D:D,"")</f>
        <v/>
      </c>
      <c r="O436" s="53">
        <f>SUMIF('Registro Refacciones'!B:B, I436, 'Registro Refacciones'!I:I)</f>
        <v>0</v>
      </c>
      <c r="P436" s="26">
        <f>Table1[[#This Row],[Costo Servicio]]+Table1[[#This Row],[Refacciones]]</f>
        <v>0</v>
      </c>
      <c r="Q436" s="26"/>
    </row>
    <row r="437" spans="1:17">
      <c r="A437" s="37" t="str">
        <f>IF(Table1[[#This Row],[Tipo de Servicio]]="","",Caratula!$D$15)</f>
        <v/>
      </c>
      <c r="B437" s="37" t="str">
        <f>IF(Table1[[#This Row],[Tipo de Servicio]]="","",Caratula!$D$16)</f>
        <v/>
      </c>
      <c r="C437" s="24" t="str">
        <f>IF(Table1[[#This Row],[Tipo de Servicio]]="","",Caratula!$D$17)</f>
        <v/>
      </c>
      <c r="D437" s="38" t="str">
        <f>IF(ISBLANK(Table1[[#This Row],[Tipo de Servicio]]),"",Caratula!$D$16)</f>
        <v/>
      </c>
      <c r="F437" t="str">
        <f>_xlfn.XLOOKUP(Table1[[#This Row],[SelGZ]]&amp;Table1[[#This Row],[Tipo de Servicio]],CatPEP!A:A,CatPEP!C:C,"")</f>
        <v/>
      </c>
      <c r="G437" t="str">
        <f>_xlfn.XLOOKUP(Table1[[#This Row],[PEP]],CatPEP!C:C,CatPEP!D:D,"")</f>
        <v/>
      </c>
      <c r="O437" s="53">
        <f>SUMIF('Registro Refacciones'!B:B, I437, 'Registro Refacciones'!I:I)</f>
        <v>0</v>
      </c>
      <c r="P437" s="26">
        <f>Table1[[#This Row],[Costo Servicio]]+Table1[[#This Row],[Refacciones]]</f>
        <v>0</v>
      </c>
      <c r="Q437" s="26"/>
    </row>
    <row r="438" spans="1:17">
      <c r="A438" s="37" t="str">
        <f>IF(Table1[[#This Row],[Tipo de Servicio]]="","",Caratula!$D$15)</f>
        <v/>
      </c>
      <c r="B438" s="37" t="str">
        <f>IF(Table1[[#This Row],[Tipo de Servicio]]="","",Caratula!$D$16)</f>
        <v/>
      </c>
      <c r="C438" s="24" t="str">
        <f>IF(Table1[[#This Row],[Tipo de Servicio]]="","",Caratula!$D$17)</f>
        <v/>
      </c>
      <c r="D438" s="38" t="str">
        <f>IF(ISBLANK(Table1[[#This Row],[Tipo de Servicio]]),"",Caratula!$D$16)</f>
        <v/>
      </c>
      <c r="F438" t="str">
        <f>_xlfn.XLOOKUP(Table1[[#This Row],[SelGZ]]&amp;Table1[[#This Row],[Tipo de Servicio]],CatPEP!A:A,CatPEP!C:C,"")</f>
        <v/>
      </c>
      <c r="G438" t="str">
        <f>_xlfn.XLOOKUP(Table1[[#This Row],[PEP]],CatPEP!C:C,CatPEP!D:D,"")</f>
        <v/>
      </c>
      <c r="O438" s="53">
        <f>SUMIF('Registro Refacciones'!B:B, I438, 'Registro Refacciones'!I:I)</f>
        <v>0</v>
      </c>
      <c r="P438" s="26">
        <f>Table1[[#This Row],[Costo Servicio]]+Table1[[#This Row],[Refacciones]]</f>
        <v>0</v>
      </c>
      <c r="Q438" s="26"/>
    </row>
    <row r="439" spans="1:17">
      <c r="A439" s="37" t="str">
        <f>IF(Table1[[#This Row],[Tipo de Servicio]]="","",Caratula!$D$15)</f>
        <v/>
      </c>
      <c r="B439" s="37" t="str">
        <f>IF(Table1[[#This Row],[Tipo de Servicio]]="","",Caratula!$D$16)</f>
        <v/>
      </c>
      <c r="C439" s="24" t="str">
        <f>IF(Table1[[#This Row],[Tipo de Servicio]]="","",Caratula!$D$17)</f>
        <v/>
      </c>
      <c r="D439" s="38" t="str">
        <f>IF(ISBLANK(Table1[[#This Row],[Tipo de Servicio]]),"",Caratula!$D$16)</f>
        <v/>
      </c>
      <c r="F439" t="str">
        <f>_xlfn.XLOOKUP(Table1[[#This Row],[SelGZ]]&amp;Table1[[#This Row],[Tipo de Servicio]],CatPEP!A:A,CatPEP!C:C,"")</f>
        <v/>
      </c>
      <c r="G439" t="str">
        <f>_xlfn.XLOOKUP(Table1[[#This Row],[PEP]],CatPEP!C:C,CatPEP!D:D,"")</f>
        <v/>
      </c>
      <c r="O439" s="53">
        <f>SUMIF('Registro Refacciones'!B:B, I439, 'Registro Refacciones'!I:I)</f>
        <v>0</v>
      </c>
      <c r="P439" s="26">
        <f>Table1[[#This Row],[Costo Servicio]]+Table1[[#This Row],[Refacciones]]</f>
        <v>0</v>
      </c>
      <c r="Q439" s="26"/>
    </row>
    <row r="440" spans="1:17">
      <c r="A440" s="37" t="str">
        <f>IF(Table1[[#This Row],[Tipo de Servicio]]="","",Caratula!$D$15)</f>
        <v/>
      </c>
      <c r="B440" s="37" t="str">
        <f>IF(Table1[[#This Row],[Tipo de Servicio]]="","",Caratula!$D$16)</f>
        <v/>
      </c>
      <c r="C440" s="24" t="str">
        <f>IF(Table1[[#This Row],[Tipo de Servicio]]="","",Caratula!$D$17)</f>
        <v/>
      </c>
      <c r="D440" s="38" t="str">
        <f>IF(ISBLANK(Table1[[#This Row],[Tipo de Servicio]]),"",Caratula!$D$16)</f>
        <v/>
      </c>
      <c r="F440" t="str">
        <f>_xlfn.XLOOKUP(Table1[[#This Row],[SelGZ]]&amp;Table1[[#This Row],[Tipo de Servicio]],CatPEP!A:A,CatPEP!C:C,"")</f>
        <v/>
      </c>
      <c r="G440" t="str">
        <f>_xlfn.XLOOKUP(Table1[[#This Row],[PEP]],CatPEP!C:C,CatPEP!D:D,"")</f>
        <v/>
      </c>
      <c r="O440" s="53">
        <f>SUMIF('Registro Refacciones'!B:B, I440, 'Registro Refacciones'!I:I)</f>
        <v>0</v>
      </c>
      <c r="P440" s="26">
        <f>Table1[[#This Row],[Costo Servicio]]+Table1[[#This Row],[Refacciones]]</f>
        <v>0</v>
      </c>
      <c r="Q440" s="26"/>
    </row>
    <row r="441" spans="1:17">
      <c r="A441" s="37" t="str">
        <f>IF(Table1[[#This Row],[Tipo de Servicio]]="","",Caratula!$D$15)</f>
        <v/>
      </c>
      <c r="B441" s="37" t="str">
        <f>IF(Table1[[#This Row],[Tipo de Servicio]]="","",Caratula!$D$16)</f>
        <v/>
      </c>
      <c r="C441" s="24" t="str">
        <f>IF(Table1[[#This Row],[Tipo de Servicio]]="","",Caratula!$D$17)</f>
        <v/>
      </c>
      <c r="D441" s="38" t="str">
        <f>IF(ISBLANK(Table1[[#This Row],[Tipo de Servicio]]),"",Caratula!$D$16)</f>
        <v/>
      </c>
      <c r="F441" t="str">
        <f>_xlfn.XLOOKUP(Table1[[#This Row],[SelGZ]]&amp;Table1[[#This Row],[Tipo de Servicio]],CatPEP!A:A,CatPEP!C:C,"")</f>
        <v/>
      </c>
      <c r="G441" t="str">
        <f>_xlfn.XLOOKUP(Table1[[#This Row],[PEP]],CatPEP!C:C,CatPEP!D:D,"")</f>
        <v/>
      </c>
      <c r="O441" s="53">
        <f>SUMIF('Registro Refacciones'!B:B, I441, 'Registro Refacciones'!I:I)</f>
        <v>0</v>
      </c>
      <c r="P441" s="26">
        <f>Table1[[#This Row],[Costo Servicio]]+Table1[[#This Row],[Refacciones]]</f>
        <v>0</v>
      </c>
      <c r="Q441" s="26"/>
    </row>
    <row r="442" spans="1:17">
      <c r="A442" s="37" t="str">
        <f>IF(Table1[[#This Row],[Tipo de Servicio]]="","",Caratula!$D$15)</f>
        <v/>
      </c>
      <c r="B442" s="37" t="str">
        <f>IF(Table1[[#This Row],[Tipo de Servicio]]="","",Caratula!$D$16)</f>
        <v/>
      </c>
      <c r="C442" s="24" t="str">
        <f>IF(Table1[[#This Row],[Tipo de Servicio]]="","",Caratula!$D$17)</f>
        <v/>
      </c>
      <c r="D442" s="38" t="str">
        <f>IF(ISBLANK(Table1[[#This Row],[Tipo de Servicio]]),"",Caratula!$D$16)</f>
        <v/>
      </c>
      <c r="F442" t="str">
        <f>_xlfn.XLOOKUP(Table1[[#This Row],[SelGZ]]&amp;Table1[[#This Row],[Tipo de Servicio]],CatPEP!A:A,CatPEP!C:C,"")</f>
        <v/>
      </c>
      <c r="G442" t="str">
        <f>_xlfn.XLOOKUP(Table1[[#This Row],[PEP]],CatPEP!C:C,CatPEP!D:D,"")</f>
        <v/>
      </c>
      <c r="O442" s="53">
        <f>SUMIF('Registro Refacciones'!B:B, I442, 'Registro Refacciones'!I:I)</f>
        <v>0</v>
      </c>
      <c r="P442" s="26">
        <f>Table1[[#This Row],[Costo Servicio]]+Table1[[#This Row],[Refacciones]]</f>
        <v>0</v>
      </c>
      <c r="Q442" s="26"/>
    </row>
    <row r="443" spans="1:17">
      <c r="A443" s="37" t="str">
        <f>IF(Table1[[#This Row],[Tipo de Servicio]]="","",Caratula!$D$15)</f>
        <v/>
      </c>
      <c r="B443" s="37" t="str">
        <f>IF(Table1[[#This Row],[Tipo de Servicio]]="","",Caratula!$D$16)</f>
        <v/>
      </c>
      <c r="C443" s="24" t="str">
        <f>IF(Table1[[#This Row],[Tipo de Servicio]]="","",Caratula!$D$17)</f>
        <v/>
      </c>
      <c r="D443" s="38" t="str">
        <f>IF(ISBLANK(Table1[[#This Row],[Tipo de Servicio]]),"",Caratula!$D$16)</f>
        <v/>
      </c>
      <c r="F443" t="str">
        <f>_xlfn.XLOOKUP(Table1[[#This Row],[SelGZ]]&amp;Table1[[#This Row],[Tipo de Servicio]],CatPEP!A:A,CatPEP!C:C,"")</f>
        <v/>
      </c>
      <c r="G443" t="str">
        <f>_xlfn.XLOOKUP(Table1[[#This Row],[PEP]],CatPEP!C:C,CatPEP!D:D,"")</f>
        <v/>
      </c>
      <c r="O443" s="53">
        <f>SUMIF('Registro Refacciones'!B:B, I443, 'Registro Refacciones'!I:I)</f>
        <v>0</v>
      </c>
      <c r="P443" s="26">
        <f>Table1[[#This Row],[Costo Servicio]]+Table1[[#This Row],[Refacciones]]</f>
        <v>0</v>
      </c>
      <c r="Q443" s="26"/>
    </row>
    <row r="444" spans="1:17">
      <c r="A444" s="37" t="str">
        <f>IF(Table1[[#This Row],[Tipo de Servicio]]="","",Caratula!$D$15)</f>
        <v/>
      </c>
      <c r="B444" s="37" t="str">
        <f>IF(Table1[[#This Row],[Tipo de Servicio]]="","",Caratula!$D$16)</f>
        <v/>
      </c>
      <c r="C444" s="24" t="str">
        <f>IF(Table1[[#This Row],[Tipo de Servicio]]="","",Caratula!$D$17)</f>
        <v/>
      </c>
      <c r="D444" s="38" t="str">
        <f>IF(ISBLANK(Table1[[#This Row],[Tipo de Servicio]]),"",Caratula!$D$16)</f>
        <v/>
      </c>
      <c r="F444" t="str">
        <f>_xlfn.XLOOKUP(Table1[[#This Row],[SelGZ]]&amp;Table1[[#This Row],[Tipo de Servicio]],CatPEP!A:A,CatPEP!C:C,"")</f>
        <v/>
      </c>
      <c r="G444" t="str">
        <f>_xlfn.XLOOKUP(Table1[[#This Row],[PEP]],CatPEP!C:C,CatPEP!D:D,"")</f>
        <v/>
      </c>
      <c r="O444" s="53">
        <f>SUMIF('Registro Refacciones'!B:B, I444, 'Registro Refacciones'!I:I)</f>
        <v>0</v>
      </c>
      <c r="P444" s="26">
        <f>Table1[[#This Row],[Costo Servicio]]+Table1[[#This Row],[Refacciones]]</f>
        <v>0</v>
      </c>
      <c r="Q444" s="26"/>
    </row>
    <row r="445" spans="1:17">
      <c r="A445" s="37" t="str">
        <f>IF(Table1[[#This Row],[Tipo de Servicio]]="","",Caratula!$D$15)</f>
        <v/>
      </c>
      <c r="B445" s="37" t="str">
        <f>IF(Table1[[#This Row],[Tipo de Servicio]]="","",Caratula!$D$16)</f>
        <v/>
      </c>
      <c r="C445" s="24" t="str">
        <f>IF(Table1[[#This Row],[Tipo de Servicio]]="","",Caratula!$D$17)</f>
        <v/>
      </c>
      <c r="D445" s="38" t="str">
        <f>IF(ISBLANK(Table1[[#This Row],[Tipo de Servicio]]),"",Caratula!$D$16)</f>
        <v/>
      </c>
      <c r="F445" t="str">
        <f>_xlfn.XLOOKUP(Table1[[#This Row],[SelGZ]]&amp;Table1[[#This Row],[Tipo de Servicio]],CatPEP!A:A,CatPEP!C:C,"")</f>
        <v/>
      </c>
      <c r="G445" t="str">
        <f>_xlfn.XLOOKUP(Table1[[#This Row],[PEP]],CatPEP!C:C,CatPEP!D:D,"")</f>
        <v/>
      </c>
      <c r="O445" s="53">
        <f>SUMIF('Registro Refacciones'!B:B, I445, 'Registro Refacciones'!I:I)</f>
        <v>0</v>
      </c>
      <c r="P445" s="26">
        <f>Table1[[#This Row],[Costo Servicio]]+Table1[[#This Row],[Refacciones]]</f>
        <v>0</v>
      </c>
      <c r="Q445" s="26"/>
    </row>
    <row r="446" spans="1:17">
      <c r="A446" s="37" t="str">
        <f>IF(Table1[[#This Row],[Tipo de Servicio]]="","",Caratula!$D$15)</f>
        <v/>
      </c>
      <c r="B446" s="37" t="str">
        <f>IF(Table1[[#This Row],[Tipo de Servicio]]="","",Caratula!$D$16)</f>
        <v/>
      </c>
      <c r="C446" s="24" t="str">
        <f>IF(Table1[[#This Row],[Tipo de Servicio]]="","",Caratula!$D$17)</f>
        <v/>
      </c>
      <c r="D446" s="38" t="str">
        <f>IF(ISBLANK(Table1[[#This Row],[Tipo de Servicio]]),"",Caratula!$D$16)</f>
        <v/>
      </c>
      <c r="F446" t="str">
        <f>_xlfn.XLOOKUP(Table1[[#This Row],[SelGZ]]&amp;Table1[[#This Row],[Tipo de Servicio]],CatPEP!A:A,CatPEP!C:C,"")</f>
        <v/>
      </c>
      <c r="G446" t="str">
        <f>_xlfn.XLOOKUP(Table1[[#This Row],[PEP]],CatPEP!C:C,CatPEP!D:D,"")</f>
        <v/>
      </c>
      <c r="O446" s="53">
        <f>SUMIF('Registro Refacciones'!B:B, I446, 'Registro Refacciones'!I:I)</f>
        <v>0</v>
      </c>
      <c r="P446" s="26">
        <f>Table1[[#This Row],[Costo Servicio]]+Table1[[#This Row],[Refacciones]]</f>
        <v>0</v>
      </c>
      <c r="Q446" s="26"/>
    </row>
    <row r="447" spans="1:17">
      <c r="A447" s="37" t="str">
        <f>IF(Table1[[#This Row],[Tipo de Servicio]]="","",Caratula!$D$15)</f>
        <v/>
      </c>
      <c r="B447" s="37" t="str">
        <f>IF(Table1[[#This Row],[Tipo de Servicio]]="","",Caratula!$D$16)</f>
        <v/>
      </c>
      <c r="C447" s="24" t="str">
        <f>IF(Table1[[#This Row],[Tipo de Servicio]]="","",Caratula!$D$17)</f>
        <v/>
      </c>
      <c r="D447" s="38" t="str">
        <f>IF(ISBLANK(Table1[[#This Row],[Tipo de Servicio]]),"",Caratula!$D$16)</f>
        <v/>
      </c>
      <c r="F447" t="str">
        <f>_xlfn.XLOOKUP(Table1[[#This Row],[SelGZ]]&amp;Table1[[#This Row],[Tipo de Servicio]],CatPEP!A:A,CatPEP!C:C,"")</f>
        <v/>
      </c>
      <c r="G447" t="str">
        <f>_xlfn.XLOOKUP(Table1[[#This Row],[PEP]],CatPEP!C:C,CatPEP!D:D,"")</f>
        <v/>
      </c>
      <c r="O447" s="53">
        <f>SUMIF('Registro Refacciones'!B:B, I447, 'Registro Refacciones'!I:I)</f>
        <v>0</v>
      </c>
      <c r="P447" s="26">
        <f>Table1[[#This Row],[Costo Servicio]]+Table1[[#This Row],[Refacciones]]</f>
        <v>0</v>
      </c>
      <c r="Q447" s="26"/>
    </row>
    <row r="448" spans="1:17">
      <c r="A448" s="37" t="str">
        <f>IF(Table1[[#This Row],[Tipo de Servicio]]="","",Caratula!$D$15)</f>
        <v/>
      </c>
      <c r="B448" s="37" t="str">
        <f>IF(Table1[[#This Row],[Tipo de Servicio]]="","",Caratula!$D$16)</f>
        <v/>
      </c>
      <c r="C448" s="24" t="str">
        <f>IF(Table1[[#This Row],[Tipo de Servicio]]="","",Caratula!$D$17)</f>
        <v/>
      </c>
      <c r="D448" s="38" t="str">
        <f>IF(ISBLANK(Table1[[#This Row],[Tipo de Servicio]]),"",Caratula!$D$16)</f>
        <v/>
      </c>
      <c r="F448" t="str">
        <f>_xlfn.XLOOKUP(Table1[[#This Row],[SelGZ]]&amp;Table1[[#This Row],[Tipo de Servicio]],CatPEP!A:A,CatPEP!C:C,"")</f>
        <v/>
      </c>
      <c r="G448" t="str">
        <f>_xlfn.XLOOKUP(Table1[[#This Row],[PEP]],CatPEP!C:C,CatPEP!D:D,"")</f>
        <v/>
      </c>
      <c r="O448" s="53">
        <f>SUMIF('Registro Refacciones'!B:B, I448, 'Registro Refacciones'!I:I)</f>
        <v>0</v>
      </c>
      <c r="P448" s="26">
        <f>Table1[[#This Row],[Costo Servicio]]+Table1[[#This Row],[Refacciones]]</f>
        <v>0</v>
      </c>
      <c r="Q448" s="26"/>
    </row>
    <row r="449" spans="1:17">
      <c r="A449" s="37" t="str">
        <f>IF(Table1[[#This Row],[Tipo de Servicio]]="","",Caratula!$D$15)</f>
        <v/>
      </c>
      <c r="B449" s="37" t="str">
        <f>IF(Table1[[#This Row],[Tipo de Servicio]]="","",Caratula!$D$16)</f>
        <v/>
      </c>
      <c r="C449" s="24" t="str">
        <f>IF(Table1[[#This Row],[Tipo de Servicio]]="","",Caratula!$D$17)</f>
        <v/>
      </c>
      <c r="D449" s="38" t="str">
        <f>IF(ISBLANK(Table1[[#This Row],[Tipo de Servicio]]),"",Caratula!$D$16)</f>
        <v/>
      </c>
      <c r="F449" t="str">
        <f>_xlfn.XLOOKUP(Table1[[#This Row],[SelGZ]]&amp;Table1[[#This Row],[Tipo de Servicio]],CatPEP!A:A,CatPEP!C:C,"")</f>
        <v/>
      </c>
      <c r="G449" t="str">
        <f>_xlfn.XLOOKUP(Table1[[#This Row],[PEP]],CatPEP!C:C,CatPEP!D:D,"")</f>
        <v/>
      </c>
      <c r="O449" s="53">
        <f>SUMIF('Registro Refacciones'!B:B, I449, 'Registro Refacciones'!I:I)</f>
        <v>0</v>
      </c>
      <c r="P449" s="26">
        <f>Table1[[#This Row],[Costo Servicio]]+Table1[[#This Row],[Refacciones]]</f>
        <v>0</v>
      </c>
      <c r="Q449" s="26"/>
    </row>
    <row r="450" spans="1:17">
      <c r="A450" s="37" t="str">
        <f>IF(Table1[[#This Row],[Tipo de Servicio]]="","",Caratula!$D$15)</f>
        <v/>
      </c>
      <c r="B450" s="37" t="str">
        <f>IF(Table1[[#This Row],[Tipo de Servicio]]="","",Caratula!$D$16)</f>
        <v/>
      </c>
      <c r="C450" s="24" t="str">
        <f>IF(Table1[[#This Row],[Tipo de Servicio]]="","",Caratula!$D$17)</f>
        <v/>
      </c>
      <c r="D450" s="38" t="str">
        <f>IF(ISBLANK(Table1[[#This Row],[Tipo de Servicio]]),"",Caratula!$D$16)</f>
        <v/>
      </c>
      <c r="F450" t="str">
        <f>_xlfn.XLOOKUP(Table1[[#This Row],[SelGZ]]&amp;Table1[[#This Row],[Tipo de Servicio]],CatPEP!A:A,CatPEP!C:C,"")</f>
        <v/>
      </c>
      <c r="G450" t="str">
        <f>_xlfn.XLOOKUP(Table1[[#This Row],[PEP]],CatPEP!C:C,CatPEP!D:D,"")</f>
        <v/>
      </c>
      <c r="O450" s="53">
        <f>SUMIF('Registro Refacciones'!B:B, I450, 'Registro Refacciones'!I:I)</f>
        <v>0</v>
      </c>
      <c r="P450" s="26">
        <f>Table1[[#This Row],[Costo Servicio]]+Table1[[#This Row],[Refacciones]]</f>
        <v>0</v>
      </c>
      <c r="Q450" s="26"/>
    </row>
    <row r="451" spans="1:17">
      <c r="A451" s="37" t="str">
        <f>IF(Table1[[#This Row],[Tipo de Servicio]]="","",Caratula!$D$15)</f>
        <v/>
      </c>
      <c r="B451" s="37" t="str">
        <f>IF(Table1[[#This Row],[Tipo de Servicio]]="","",Caratula!$D$16)</f>
        <v/>
      </c>
      <c r="C451" s="24" t="str">
        <f>IF(Table1[[#This Row],[Tipo de Servicio]]="","",Caratula!$D$17)</f>
        <v/>
      </c>
      <c r="D451" s="38" t="str">
        <f>IF(ISBLANK(Table1[[#This Row],[Tipo de Servicio]]),"",Caratula!$D$16)</f>
        <v/>
      </c>
      <c r="F451" t="str">
        <f>_xlfn.XLOOKUP(Table1[[#This Row],[SelGZ]]&amp;Table1[[#This Row],[Tipo de Servicio]],CatPEP!A:A,CatPEP!C:C,"")</f>
        <v/>
      </c>
      <c r="G451" t="str">
        <f>_xlfn.XLOOKUP(Table1[[#This Row],[PEP]],CatPEP!C:C,CatPEP!D:D,"")</f>
        <v/>
      </c>
      <c r="O451" s="53">
        <f>SUMIF('Registro Refacciones'!B:B, I451, 'Registro Refacciones'!I:I)</f>
        <v>0</v>
      </c>
      <c r="P451" s="26">
        <f>Table1[[#This Row],[Costo Servicio]]+Table1[[#This Row],[Refacciones]]</f>
        <v>0</v>
      </c>
      <c r="Q451" s="26"/>
    </row>
    <row r="452" spans="1:17">
      <c r="A452" s="37" t="str">
        <f>IF(Table1[[#This Row],[Tipo de Servicio]]="","",Caratula!$D$15)</f>
        <v/>
      </c>
      <c r="B452" s="37" t="str">
        <f>IF(Table1[[#This Row],[Tipo de Servicio]]="","",Caratula!$D$16)</f>
        <v/>
      </c>
      <c r="C452" s="24" t="str">
        <f>IF(Table1[[#This Row],[Tipo de Servicio]]="","",Caratula!$D$17)</f>
        <v/>
      </c>
      <c r="D452" s="38" t="str">
        <f>IF(ISBLANK(Table1[[#This Row],[Tipo de Servicio]]),"",Caratula!$D$16)</f>
        <v/>
      </c>
      <c r="F452" t="str">
        <f>_xlfn.XLOOKUP(Table1[[#This Row],[SelGZ]]&amp;Table1[[#This Row],[Tipo de Servicio]],CatPEP!A:A,CatPEP!C:C,"")</f>
        <v/>
      </c>
      <c r="G452" t="str">
        <f>_xlfn.XLOOKUP(Table1[[#This Row],[PEP]],CatPEP!C:C,CatPEP!D:D,"")</f>
        <v/>
      </c>
      <c r="O452" s="53">
        <f>SUMIF('Registro Refacciones'!B:B, I452, 'Registro Refacciones'!I:I)</f>
        <v>0</v>
      </c>
      <c r="P452" s="26">
        <f>Table1[[#This Row],[Costo Servicio]]+Table1[[#This Row],[Refacciones]]</f>
        <v>0</v>
      </c>
      <c r="Q452" s="26"/>
    </row>
    <row r="453" spans="1:17">
      <c r="A453" s="37" t="str">
        <f>IF(Table1[[#This Row],[Tipo de Servicio]]="","",Caratula!$D$15)</f>
        <v/>
      </c>
      <c r="B453" s="37" t="str">
        <f>IF(Table1[[#This Row],[Tipo de Servicio]]="","",Caratula!$D$16)</f>
        <v/>
      </c>
      <c r="C453" s="24" t="str">
        <f>IF(Table1[[#This Row],[Tipo de Servicio]]="","",Caratula!$D$17)</f>
        <v/>
      </c>
      <c r="D453" s="38" t="str">
        <f>IF(ISBLANK(Table1[[#This Row],[Tipo de Servicio]]),"",Caratula!$D$16)</f>
        <v/>
      </c>
      <c r="F453" t="str">
        <f>_xlfn.XLOOKUP(Table1[[#This Row],[SelGZ]]&amp;Table1[[#This Row],[Tipo de Servicio]],CatPEP!A:A,CatPEP!C:C,"")</f>
        <v/>
      </c>
      <c r="G453" t="str">
        <f>_xlfn.XLOOKUP(Table1[[#This Row],[PEP]],CatPEP!C:C,CatPEP!D:D,"")</f>
        <v/>
      </c>
      <c r="O453" s="53">
        <f>SUMIF('Registro Refacciones'!B:B, I453, 'Registro Refacciones'!I:I)</f>
        <v>0</v>
      </c>
      <c r="P453" s="26">
        <f>Table1[[#This Row],[Costo Servicio]]+Table1[[#This Row],[Refacciones]]</f>
        <v>0</v>
      </c>
      <c r="Q453" s="26"/>
    </row>
    <row r="454" spans="1:17">
      <c r="A454" s="37" t="str">
        <f>IF(Table1[[#This Row],[Tipo de Servicio]]="","",Caratula!$D$15)</f>
        <v/>
      </c>
      <c r="B454" s="37" t="str">
        <f>IF(Table1[[#This Row],[Tipo de Servicio]]="","",Caratula!$D$16)</f>
        <v/>
      </c>
      <c r="C454" s="24" t="str">
        <f>IF(Table1[[#This Row],[Tipo de Servicio]]="","",Caratula!$D$17)</f>
        <v/>
      </c>
      <c r="D454" s="38" t="str">
        <f>IF(ISBLANK(Table1[[#This Row],[Tipo de Servicio]]),"",Caratula!$D$16)</f>
        <v/>
      </c>
      <c r="F454" t="str">
        <f>_xlfn.XLOOKUP(Table1[[#This Row],[SelGZ]]&amp;Table1[[#This Row],[Tipo de Servicio]],CatPEP!A:A,CatPEP!C:C,"")</f>
        <v/>
      </c>
      <c r="G454" t="str">
        <f>_xlfn.XLOOKUP(Table1[[#This Row],[PEP]],CatPEP!C:C,CatPEP!D:D,"")</f>
        <v/>
      </c>
      <c r="O454" s="53">
        <f>SUMIF('Registro Refacciones'!B:B, I454, 'Registro Refacciones'!I:I)</f>
        <v>0</v>
      </c>
      <c r="P454" s="26">
        <f>Table1[[#This Row],[Costo Servicio]]+Table1[[#This Row],[Refacciones]]</f>
        <v>0</v>
      </c>
      <c r="Q454" s="26"/>
    </row>
    <row r="455" spans="1:17">
      <c r="A455" s="37" t="str">
        <f>IF(Table1[[#This Row],[Tipo de Servicio]]="","",Caratula!$D$15)</f>
        <v/>
      </c>
      <c r="B455" s="37" t="str">
        <f>IF(Table1[[#This Row],[Tipo de Servicio]]="","",Caratula!$D$16)</f>
        <v/>
      </c>
      <c r="C455" s="24" t="str">
        <f>IF(Table1[[#This Row],[Tipo de Servicio]]="","",Caratula!$D$17)</f>
        <v/>
      </c>
      <c r="D455" s="38" t="str">
        <f>IF(ISBLANK(Table1[[#This Row],[Tipo de Servicio]]),"",Caratula!$D$16)</f>
        <v/>
      </c>
      <c r="F455" t="str">
        <f>_xlfn.XLOOKUP(Table1[[#This Row],[SelGZ]]&amp;Table1[[#This Row],[Tipo de Servicio]],CatPEP!A:A,CatPEP!C:C,"")</f>
        <v/>
      </c>
      <c r="G455" t="str">
        <f>_xlfn.XLOOKUP(Table1[[#This Row],[PEP]],CatPEP!C:C,CatPEP!D:D,"")</f>
        <v/>
      </c>
      <c r="O455" s="53">
        <f>SUMIF('Registro Refacciones'!B:B, I455, 'Registro Refacciones'!I:I)</f>
        <v>0</v>
      </c>
      <c r="P455" s="26">
        <f>Table1[[#This Row],[Costo Servicio]]+Table1[[#This Row],[Refacciones]]</f>
        <v>0</v>
      </c>
      <c r="Q455" s="26"/>
    </row>
    <row r="456" spans="1:17">
      <c r="A456" s="37" t="str">
        <f>IF(Table1[[#This Row],[Tipo de Servicio]]="","",Caratula!$D$15)</f>
        <v/>
      </c>
      <c r="B456" s="37" t="str">
        <f>IF(Table1[[#This Row],[Tipo de Servicio]]="","",Caratula!$D$16)</f>
        <v/>
      </c>
      <c r="C456" s="24" t="str">
        <f>IF(Table1[[#This Row],[Tipo de Servicio]]="","",Caratula!$D$17)</f>
        <v/>
      </c>
      <c r="D456" s="38" t="str">
        <f>IF(ISBLANK(Table1[[#This Row],[Tipo de Servicio]]),"",Caratula!$D$16)</f>
        <v/>
      </c>
      <c r="F456" t="str">
        <f>_xlfn.XLOOKUP(Table1[[#This Row],[SelGZ]]&amp;Table1[[#This Row],[Tipo de Servicio]],CatPEP!A:A,CatPEP!C:C,"")</f>
        <v/>
      </c>
      <c r="G456" t="str">
        <f>_xlfn.XLOOKUP(Table1[[#This Row],[PEP]],CatPEP!C:C,CatPEP!D:D,"")</f>
        <v/>
      </c>
      <c r="O456" s="53">
        <f>SUMIF('Registro Refacciones'!B:B, I456, 'Registro Refacciones'!I:I)</f>
        <v>0</v>
      </c>
      <c r="P456" s="26">
        <f>Table1[[#This Row],[Costo Servicio]]+Table1[[#This Row],[Refacciones]]</f>
        <v>0</v>
      </c>
      <c r="Q456" s="26"/>
    </row>
    <row r="457" spans="1:17">
      <c r="A457" s="37" t="str">
        <f>IF(Table1[[#This Row],[Tipo de Servicio]]="","",Caratula!$D$15)</f>
        <v/>
      </c>
      <c r="B457" s="37" t="str">
        <f>IF(Table1[[#This Row],[Tipo de Servicio]]="","",Caratula!$D$16)</f>
        <v/>
      </c>
      <c r="C457" s="24" t="str">
        <f>IF(Table1[[#This Row],[Tipo de Servicio]]="","",Caratula!$D$17)</f>
        <v/>
      </c>
      <c r="D457" s="38" t="str">
        <f>IF(ISBLANK(Table1[[#This Row],[Tipo de Servicio]]),"",Caratula!$D$16)</f>
        <v/>
      </c>
      <c r="F457" t="str">
        <f>_xlfn.XLOOKUP(Table1[[#This Row],[SelGZ]]&amp;Table1[[#This Row],[Tipo de Servicio]],CatPEP!A:A,CatPEP!C:C,"")</f>
        <v/>
      </c>
      <c r="G457" t="str">
        <f>_xlfn.XLOOKUP(Table1[[#This Row],[PEP]],CatPEP!C:C,CatPEP!D:D,"")</f>
        <v/>
      </c>
      <c r="O457" s="53">
        <f>SUMIF('Registro Refacciones'!B:B, I457, 'Registro Refacciones'!I:I)</f>
        <v>0</v>
      </c>
      <c r="P457" s="26">
        <f>Table1[[#This Row],[Costo Servicio]]+Table1[[#This Row],[Refacciones]]</f>
        <v>0</v>
      </c>
      <c r="Q457" s="26"/>
    </row>
    <row r="458" spans="1:17">
      <c r="A458" s="37" t="str">
        <f>IF(Table1[[#This Row],[Tipo de Servicio]]="","",Caratula!$D$15)</f>
        <v/>
      </c>
      <c r="B458" s="37" t="str">
        <f>IF(Table1[[#This Row],[Tipo de Servicio]]="","",Caratula!$D$16)</f>
        <v/>
      </c>
      <c r="C458" s="24" t="str">
        <f>IF(Table1[[#This Row],[Tipo de Servicio]]="","",Caratula!$D$17)</f>
        <v/>
      </c>
      <c r="D458" s="38" t="str">
        <f>IF(ISBLANK(Table1[[#This Row],[Tipo de Servicio]]),"",Caratula!$D$16)</f>
        <v/>
      </c>
      <c r="F458" t="str">
        <f>_xlfn.XLOOKUP(Table1[[#This Row],[SelGZ]]&amp;Table1[[#This Row],[Tipo de Servicio]],CatPEP!A:A,CatPEP!C:C,"")</f>
        <v/>
      </c>
      <c r="G458" t="str">
        <f>_xlfn.XLOOKUP(Table1[[#This Row],[PEP]],CatPEP!C:C,CatPEP!D:D,"")</f>
        <v/>
      </c>
      <c r="O458" s="53">
        <f>SUMIF('Registro Refacciones'!B:B, I458, 'Registro Refacciones'!I:I)</f>
        <v>0</v>
      </c>
      <c r="P458" s="26">
        <f>Table1[[#This Row],[Costo Servicio]]+Table1[[#This Row],[Refacciones]]</f>
        <v>0</v>
      </c>
      <c r="Q458" s="26"/>
    </row>
    <row r="459" spans="1:17">
      <c r="A459" s="37" t="str">
        <f>IF(Table1[[#This Row],[Tipo de Servicio]]="","",Caratula!$D$15)</f>
        <v/>
      </c>
      <c r="B459" s="37" t="str">
        <f>IF(Table1[[#This Row],[Tipo de Servicio]]="","",Caratula!$D$16)</f>
        <v/>
      </c>
      <c r="C459" s="24" t="str">
        <f>IF(Table1[[#This Row],[Tipo de Servicio]]="","",Caratula!$D$17)</f>
        <v/>
      </c>
      <c r="D459" s="38" t="str">
        <f>IF(ISBLANK(Table1[[#This Row],[Tipo de Servicio]]),"",Caratula!$D$16)</f>
        <v/>
      </c>
      <c r="F459" t="str">
        <f>_xlfn.XLOOKUP(Table1[[#This Row],[SelGZ]]&amp;Table1[[#This Row],[Tipo de Servicio]],CatPEP!A:A,CatPEP!C:C,"")</f>
        <v/>
      </c>
      <c r="G459" t="str">
        <f>_xlfn.XLOOKUP(Table1[[#This Row],[PEP]],CatPEP!C:C,CatPEP!D:D,"")</f>
        <v/>
      </c>
      <c r="O459" s="53">
        <f>SUMIF('Registro Refacciones'!B:B, I459, 'Registro Refacciones'!I:I)</f>
        <v>0</v>
      </c>
      <c r="P459" s="26">
        <f>Table1[[#This Row],[Costo Servicio]]+Table1[[#This Row],[Refacciones]]</f>
        <v>0</v>
      </c>
      <c r="Q459" s="26"/>
    </row>
    <row r="460" spans="1:17">
      <c r="A460" s="37" t="str">
        <f>IF(Table1[[#This Row],[Tipo de Servicio]]="","",Caratula!$D$15)</f>
        <v/>
      </c>
      <c r="B460" s="37" t="str">
        <f>IF(Table1[[#This Row],[Tipo de Servicio]]="","",Caratula!$D$16)</f>
        <v/>
      </c>
      <c r="C460" s="24" t="str">
        <f>IF(Table1[[#This Row],[Tipo de Servicio]]="","",Caratula!$D$17)</f>
        <v/>
      </c>
      <c r="D460" s="38" t="str">
        <f>IF(ISBLANK(Table1[[#This Row],[Tipo de Servicio]]),"",Caratula!$D$16)</f>
        <v/>
      </c>
      <c r="F460" t="str">
        <f>_xlfn.XLOOKUP(Table1[[#This Row],[SelGZ]]&amp;Table1[[#This Row],[Tipo de Servicio]],CatPEP!A:A,CatPEP!C:C,"")</f>
        <v/>
      </c>
      <c r="G460" t="str">
        <f>_xlfn.XLOOKUP(Table1[[#This Row],[PEP]],CatPEP!C:C,CatPEP!D:D,"")</f>
        <v/>
      </c>
      <c r="O460" s="53">
        <f>SUMIF('Registro Refacciones'!B:B, I460, 'Registro Refacciones'!I:I)</f>
        <v>0</v>
      </c>
      <c r="P460" s="26">
        <f>Table1[[#This Row],[Costo Servicio]]+Table1[[#This Row],[Refacciones]]</f>
        <v>0</v>
      </c>
      <c r="Q460" s="26"/>
    </row>
    <row r="461" spans="1:17">
      <c r="A461" s="37" t="str">
        <f>IF(Table1[[#This Row],[Tipo de Servicio]]="","",Caratula!$D$15)</f>
        <v/>
      </c>
      <c r="B461" s="37" t="str">
        <f>IF(Table1[[#This Row],[Tipo de Servicio]]="","",Caratula!$D$16)</f>
        <v/>
      </c>
      <c r="C461" s="24" t="str">
        <f>IF(Table1[[#This Row],[Tipo de Servicio]]="","",Caratula!$D$17)</f>
        <v/>
      </c>
      <c r="D461" s="38" t="str">
        <f>IF(ISBLANK(Table1[[#This Row],[Tipo de Servicio]]),"",Caratula!$D$16)</f>
        <v/>
      </c>
      <c r="F461" t="str">
        <f>_xlfn.XLOOKUP(Table1[[#This Row],[SelGZ]]&amp;Table1[[#This Row],[Tipo de Servicio]],CatPEP!A:A,CatPEP!C:C,"")</f>
        <v/>
      </c>
      <c r="G461" t="str">
        <f>_xlfn.XLOOKUP(Table1[[#This Row],[PEP]],CatPEP!C:C,CatPEP!D:D,"")</f>
        <v/>
      </c>
      <c r="O461" s="53">
        <f>SUMIF('Registro Refacciones'!B:B, I461, 'Registro Refacciones'!I:I)</f>
        <v>0</v>
      </c>
      <c r="P461" s="26">
        <f>Table1[[#This Row],[Costo Servicio]]+Table1[[#This Row],[Refacciones]]</f>
        <v>0</v>
      </c>
      <c r="Q461" s="26"/>
    </row>
    <row r="462" spans="1:17">
      <c r="A462" s="37" t="str">
        <f>IF(Table1[[#This Row],[Tipo de Servicio]]="","",Caratula!$D$15)</f>
        <v/>
      </c>
      <c r="B462" s="37" t="str">
        <f>IF(Table1[[#This Row],[Tipo de Servicio]]="","",Caratula!$D$16)</f>
        <v/>
      </c>
      <c r="C462" s="24" t="str">
        <f>IF(Table1[[#This Row],[Tipo de Servicio]]="","",Caratula!$D$17)</f>
        <v/>
      </c>
      <c r="D462" s="38" t="str">
        <f>IF(ISBLANK(Table1[[#This Row],[Tipo de Servicio]]),"",Caratula!$D$16)</f>
        <v/>
      </c>
      <c r="F462" t="str">
        <f>_xlfn.XLOOKUP(Table1[[#This Row],[SelGZ]]&amp;Table1[[#This Row],[Tipo de Servicio]],CatPEP!A:A,CatPEP!C:C,"")</f>
        <v/>
      </c>
      <c r="G462" t="str">
        <f>_xlfn.XLOOKUP(Table1[[#This Row],[PEP]],CatPEP!C:C,CatPEP!D:D,"")</f>
        <v/>
      </c>
      <c r="O462" s="53">
        <f>SUMIF('Registro Refacciones'!B:B, I462, 'Registro Refacciones'!I:I)</f>
        <v>0</v>
      </c>
      <c r="P462" s="26">
        <f>Table1[[#This Row],[Costo Servicio]]+Table1[[#This Row],[Refacciones]]</f>
        <v>0</v>
      </c>
      <c r="Q462" s="26"/>
    </row>
    <row r="463" spans="1:17">
      <c r="A463" s="37" t="str">
        <f>IF(Table1[[#This Row],[Tipo de Servicio]]="","",Caratula!$D$15)</f>
        <v/>
      </c>
      <c r="B463" s="37" t="str">
        <f>IF(Table1[[#This Row],[Tipo de Servicio]]="","",Caratula!$D$16)</f>
        <v/>
      </c>
      <c r="C463" s="24" t="str">
        <f>IF(Table1[[#This Row],[Tipo de Servicio]]="","",Caratula!$D$17)</f>
        <v/>
      </c>
      <c r="D463" s="38" t="str">
        <f>IF(ISBLANK(Table1[[#This Row],[Tipo de Servicio]]),"",Caratula!$D$16)</f>
        <v/>
      </c>
      <c r="F463" t="str">
        <f>_xlfn.XLOOKUP(Table1[[#This Row],[SelGZ]]&amp;Table1[[#This Row],[Tipo de Servicio]],CatPEP!A:A,CatPEP!C:C,"")</f>
        <v/>
      </c>
      <c r="G463" t="str">
        <f>_xlfn.XLOOKUP(Table1[[#This Row],[PEP]],CatPEP!C:C,CatPEP!D:D,"")</f>
        <v/>
      </c>
      <c r="O463" s="53">
        <f>SUMIF('Registro Refacciones'!B:B, I463, 'Registro Refacciones'!I:I)</f>
        <v>0</v>
      </c>
      <c r="P463" s="26">
        <f>Table1[[#This Row],[Costo Servicio]]+Table1[[#This Row],[Refacciones]]</f>
        <v>0</v>
      </c>
      <c r="Q463" s="26"/>
    </row>
    <row r="464" spans="1:17">
      <c r="A464" s="37" t="str">
        <f>IF(Table1[[#This Row],[Tipo de Servicio]]="","",Caratula!$D$15)</f>
        <v/>
      </c>
      <c r="B464" s="37" t="str">
        <f>IF(Table1[[#This Row],[Tipo de Servicio]]="","",Caratula!$D$16)</f>
        <v/>
      </c>
      <c r="C464" s="24" t="str">
        <f>IF(Table1[[#This Row],[Tipo de Servicio]]="","",Caratula!$D$17)</f>
        <v/>
      </c>
      <c r="D464" s="38" t="str">
        <f>IF(ISBLANK(Table1[[#This Row],[Tipo de Servicio]]),"",Caratula!$D$16)</f>
        <v/>
      </c>
      <c r="F464" t="str">
        <f>_xlfn.XLOOKUP(Table1[[#This Row],[SelGZ]]&amp;Table1[[#This Row],[Tipo de Servicio]],CatPEP!A:A,CatPEP!C:C,"")</f>
        <v/>
      </c>
      <c r="G464" t="str">
        <f>_xlfn.XLOOKUP(Table1[[#This Row],[PEP]],CatPEP!C:C,CatPEP!D:D,"")</f>
        <v/>
      </c>
      <c r="O464" s="53">
        <f>SUMIF('Registro Refacciones'!B:B, I464, 'Registro Refacciones'!I:I)</f>
        <v>0</v>
      </c>
      <c r="P464" s="26">
        <f>Table1[[#This Row],[Costo Servicio]]+Table1[[#This Row],[Refacciones]]</f>
        <v>0</v>
      </c>
      <c r="Q464" s="26"/>
    </row>
    <row r="465" spans="1:17">
      <c r="A465" s="37" t="str">
        <f>IF(Table1[[#This Row],[Tipo de Servicio]]="","",Caratula!$D$15)</f>
        <v/>
      </c>
      <c r="B465" s="37" t="str">
        <f>IF(Table1[[#This Row],[Tipo de Servicio]]="","",Caratula!$D$16)</f>
        <v/>
      </c>
      <c r="C465" s="24" t="str">
        <f>IF(Table1[[#This Row],[Tipo de Servicio]]="","",Caratula!$D$17)</f>
        <v/>
      </c>
      <c r="D465" s="38" t="str">
        <f>IF(ISBLANK(Table1[[#This Row],[Tipo de Servicio]]),"",Caratula!$D$16)</f>
        <v/>
      </c>
      <c r="F465" t="str">
        <f>_xlfn.XLOOKUP(Table1[[#This Row],[SelGZ]]&amp;Table1[[#This Row],[Tipo de Servicio]],CatPEP!A:A,CatPEP!C:C,"")</f>
        <v/>
      </c>
      <c r="G465" t="str">
        <f>_xlfn.XLOOKUP(Table1[[#This Row],[PEP]],CatPEP!C:C,CatPEP!D:D,"")</f>
        <v/>
      </c>
      <c r="O465" s="53">
        <f>SUMIF('Registro Refacciones'!B:B, I465, 'Registro Refacciones'!I:I)</f>
        <v>0</v>
      </c>
      <c r="P465" s="26">
        <f>Table1[[#This Row],[Costo Servicio]]+Table1[[#This Row],[Refacciones]]</f>
        <v>0</v>
      </c>
      <c r="Q465" s="26"/>
    </row>
    <row r="466" spans="1:17">
      <c r="A466" s="37" t="str">
        <f>IF(Table1[[#This Row],[Tipo de Servicio]]="","",Caratula!$D$15)</f>
        <v/>
      </c>
      <c r="B466" s="37" t="str">
        <f>IF(Table1[[#This Row],[Tipo de Servicio]]="","",Caratula!$D$16)</f>
        <v/>
      </c>
      <c r="C466" s="24" t="str">
        <f>IF(Table1[[#This Row],[Tipo de Servicio]]="","",Caratula!$D$17)</f>
        <v/>
      </c>
      <c r="D466" s="38" t="str">
        <f>IF(ISBLANK(Table1[[#This Row],[Tipo de Servicio]]),"",Caratula!$D$16)</f>
        <v/>
      </c>
      <c r="F466" t="str">
        <f>_xlfn.XLOOKUP(Table1[[#This Row],[SelGZ]]&amp;Table1[[#This Row],[Tipo de Servicio]],CatPEP!A:A,CatPEP!C:C,"")</f>
        <v/>
      </c>
      <c r="G466" t="str">
        <f>_xlfn.XLOOKUP(Table1[[#This Row],[PEP]],CatPEP!C:C,CatPEP!D:D,"")</f>
        <v/>
      </c>
      <c r="O466" s="53">
        <f>SUMIF('Registro Refacciones'!B:B, I466, 'Registro Refacciones'!I:I)</f>
        <v>0</v>
      </c>
      <c r="P466" s="26">
        <f>Table1[[#This Row],[Costo Servicio]]+Table1[[#This Row],[Refacciones]]</f>
        <v>0</v>
      </c>
      <c r="Q466" s="26"/>
    </row>
    <row r="467" spans="1:17">
      <c r="A467" s="37" t="str">
        <f>IF(Table1[[#This Row],[Tipo de Servicio]]="","",Caratula!$D$15)</f>
        <v/>
      </c>
      <c r="B467" s="37" t="str">
        <f>IF(Table1[[#This Row],[Tipo de Servicio]]="","",Caratula!$D$16)</f>
        <v/>
      </c>
      <c r="C467" s="24" t="str">
        <f>IF(Table1[[#This Row],[Tipo de Servicio]]="","",Caratula!$D$17)</f>
        <v/>
      </c>
      <c r="D467" s="38" t="str">
        <f>IF(ISBLANK(Table1[[#This Row],[Tipo de Servicio]]),"",Caratula!$D$16)</f>
        <v/>
      </c>
      <c r="F467" t="str">
        <f>_xlfn.XLOOKUP(Table1[[#This Row],[SelGZ]]&amp;Table1[[#This Row],[Tipo de Servicio]],CatPEP!A:A,CatPEP!C:C,"")</f>
        <v/>
      </c>
      <c r="G467" t="str">
        <f>_xlfn.XLOOKUP(Table1[[#This Row],[PEP]],CatPEP!C:C,CatPEP!D:D,"")</f>
        <v/>
      </c>
      <c r="O467" s="53">
        <f>SUMIF('Registro Refacciones'!B:B, I467, 'Registro Refacciones'!I:I)</f>
        <v>0</v>
      </c>
      <c r="P467" s="26">
        <f>Table1[[#This Row],[Costo Servicio]]+Table1[[#This Row],[Refacciones]]</f>
        <v>0</v>
      </c>
      <c r="Q467" s="26"/>
    </row>
    <row r="468" spans="1:17">
      <c r="A468" s="37" t="str">
        <f>IF(Table1[[#This Row],[Tipo de Servicio]]="","",Caratula!$D$15)</f>
        <v/>
      </c>
      <c r="B468" s="37" t="str">
        <f>IF(Table1[[#This Row],[Tipo de Servicio]]="","",Caratula!$D$16)</f>
        <v/>
      </c>
      <c r="C468" s="24" t="str">
        <f>IF(Table1[[#This Row],[Tipo de Servicio]]="","",Caratula!$D$17)</f>
        <v/>
      </c>
      <c r="D468" s="38" t="str">
        <f>IF(ISBLANK(Table1[[#This Row],[Tipo de Servicio]]),"",Caratula!$D$16)</f>
        <v/>
      </c>
      <c r="F468" t="str">
        <f>_xlfn.XLOOKUP(Table1[[#This Row],[SelGZ]]&amp;Table1[[#This Row],[Tipo de Servicio]],CatPEP!A:A,CatPEP!C:C,"")</f>
        <v/>
      </c>
      <c r="G468" t="str">
        <f>_xlfn.XLOOKUP(Table1[[#This Row],[PEP]],CatPEP!C:C,CatPEP!D:D,"")</f>
        <v/>
      </c>
      <c r="O468" s="53">
        <f>SUMIF('Registro Refacciones'!B:B, I468, 'Registro Refacciones'!I:I)</f>
        <v>0</v>
      </c>
      <c r="P468" s="26">
        <f>Table1[[#This Row],[Costo Servicio]]+Table1[[#This Row],[Refacciones]]</f>
        <v>0</v>
      </c>
      <c r="Q468" s="26"/>
    </row>
    <row r="469" spans="1:17">
      <c r="A469" s="37" t="str">
        <f>IF(Table1[[#This Row],[Tipo de Servicio]]="","",Caratula!$D$15)</f>
        <v/>
      </c>
      <c r="B469" s="37" t="str">
        <f>IF(Table1[[#This Row],[Tipo de Servicio]]="","",Caratula!$D$16)</f>
        <v/>
      </c>
      <c r="C469" s="24" t="str">
        <f>IF(Table1[[#This Row],[Tipo de Servicio]]="","",Caratula!$D$17)</f>
        <v/>
      </c>
      <c r="D469" s="38" t="str">
        <f>IF(ISBLANK(Table1[[#This Row],[Tipo de Servicio]]),"",Caratula!$D$16)</f>
        <v/>
      </c>
      <c r="F469" t="str">
        <f>_xlfn.XLOOKUP(Table1[[#This Row],[SelGZ]]&amp;Table1[[#This Row],[Tipo de Servicio]],CatPEP!A:A,CatPEP!C:C,"")</f>
        <v/>
      </c>
      <c r="G469" t="str">
        <f>_xlfn.XLOOKUP(Table1[[#This Row],[PEP]],CatPEP!C:C,CatPEP!D:D,"")</f>
        <v/>
      </c>
      <c r="O469" s="53">
        <f>SUMIF('Registro Refacciones'!B:B, I469, 'Registro Refacciones'!I:I)</f>
        <v>0</v>
      </c>
      <c r="P469" s="26">
        <f>Table1[[#This Row],[Costo Servicio]]+Table1[[#This Row],[Refacciones]]</f>
        <v>0</v>
      </c>
      <c r="Q469" s="26"/>
    </row>
    <row r="470" spans="1:17">
      <c r="A470" s="37" t="str">
        <f>IF(Table1[[#This Row],[Tipo de Servicio]]="","",Caratula!$D$15)</f>
        <v/>
      </c>
      <c r="B470" s="37" t="str">
        <f>IF(Table1[[#This Row],[Tipo de Servicio]]="","",Caratula!$D$16)</f>
        <v/>
      </c>
      <c r="C470" s="24" t="str">
        <f>IF(Table1[[#This Row],[Tipo de Servicio]]="","",Caratula!$D$17)</f>
        <v/>
      </c>
      <c r="D470" s="38" t="str">
        <f>IF(ISBLANK(Table1[[#This Row],[Tipo de Servicio]]),"",Caratula!$D$16)</f>
        <v/>
      </c>
      <c r="F470" t="str">
        <f>_xlfn.XLOOKUP(Table1[[#This Row],[SelGZ]]&amp;Table1[[#This Row],[Tipo de Servicio]],CatPEP!A:A,CatPEP!C:C,"")</f>
        <v/>
      </c>
      <c r="G470" t="str">
        <f>_xlfn.XLOOKUP(Table1[[#This Row],[PEP]],CatPEP!C:C,CatPEP!D:D,"")</f>
        <v/>
      </c>
      <c r="O470" s="53">
        <f>SUMIF('Registro Refacciones'!B:B, I470, 'Registro Refacciones'!I:I)</f>
        <v>0</v>
      </c>
      <c r="P470" s="26">
        <f>Table1[[#This Row],[Costo Servicio]]+Table1[[#This Row],[Refacciones]]</f>
        <v>0</v>
      </c>
      <c r="Q470" s="26"/>
    </row>
    <row r="471" spans="1:17">
      <c r="A471" s="37" t="str">
        <f>IF(Table1[[#This Row],[Tipo de Servicio]]="","",Caratula!$D$15)</f>
        <v/>
      </c>
      <c r="B471" s="37" t="str">
        <f>IF(Table1[[#This Row],[Tipo de Servicio]]="","",Caratula!$D$16)</f>
        <v/>
      </c>
      <c r="C471" s="24" t="str">
        <f>IF(Table1[[#This Row],[Tipo de Servicio]]="","",Caratula!$D$17)</f>
        <v/>
      </c>
      <c r="D471" s="38" t="str">
        <f>IF(ISBLANK(Table1[[#This Row],[Tipo de Servicio]]),"",Caratula!$D$16)</f>
        <v/>
      </c>
      <c r="F471" t="str">
        <f>_xlfn.XLOOKUP(Table1[[#This Row],[SelGZ]]&amp;Table1[[#This Row],[Tipo de Servicio]],CatPEP!A:A,CatPEP!C:C,"")</f>
        <v/>
      </c>
      <c r="G471" t="str">
        <f>_xlfn.XLOOKUP(Table1[[#This Row],[PEP]],CatPEP!C:C,CatPEP!D:D,"")</f>
        <v/>
      </c>
      <c r="O471" s="53">
        <f>SUMIF('Registro Refacciones'!B:B, I471, 'Registro Refacciones'!I:I)</f>
        <v>0</v>
      </c>
      <c r="P471" s="26">
        <f>Table1[[#This Row],[Costo Servicio]]+Table1[[#This Row],[Refacciones]]</f>
        <v>0</v>
      </c>
      <c r="Q471" s="26"/>
    </row>
    <row r="472" spans="1:17">
      <c r="A472" s="37" t="str">
        <f>IF(Table1[[#This Row],[Tipo de Servicio]]="","",Caratula!$D$15)</f>
        <v/>
      </c>
      <c r="B472" s="37" t="str">
        <f>IF(Table1[[#This Row],[Tipo de Servicio]]="","",Caratula!$D$16)</f>
        <v/>
      </c>
      <c r="C472" s="24" t="str">
        <f>IF(Table1[[#This Row],[Tipo de Servicio]]="","",Caratula!$D$17)</f>
        <v/>
      </c>
      <c r="D472" s="38" t="str">
        <f>IF(ISBLANK(Table1[[#This Row],[Tipo de Servicio]]),"",Caratula!$D$16)</f>
        <v/>
      </c>
      <c r="F472" t="str">
        <f>_xlfn.XLOOKUP(Table1[[#This Row],[SelGZ]]&amp;Table1[[#This Row],[Tipo de Servicio]],CatPEP!A:A,CatPEP!C:C,"")</f>
        <v/>
      </c>
      <c r="G472" t="str">
        <f>_xlfn.XLOOKUP(Table1[[#This Row],[PEP]],CatPEP!C:C,CatPEP!D:D,"")</f>
        <v/>
      </c>
      <c r="O472" s="53">
        <f>SUMIF('Registro Refacciones'!B:B, I472, 'Registro Refacciones'!I:I)</f>
        <v>0</v>
      </c>
      <c r="P472" s="26">
        <f>Table1[[#This Row],[Costo Servicio]]+Table1[[#This Row],[Refacciones]]</f>
        <v>0</v>
      </c>
      <c r="Q472" s="26"/>
    </row>
    <row r="473" spans="1:17">
      <c r="A473" s="37" t="str">
        <f>IF(Table1[[#This Row],[Tipo de Servicio]]="","",Caratula!$D$15)</f>
        <v/>
      </c>
      <c r="B473" s="37" t="str">
        <f>IF(Table1[[#This Row],[Tipo de Servicio]]="","",Caratula!$D$16)</f>
        <v/>
      </c>
      <c r="C473" s="24" t="str">
        <f>IF(Table1[[#This Row],[Tipo de Servicio]]="","",Caratula!$D$17)</f>
        <v/>
      </c>
      <c r="D473" s="38" t="str">
        <f>IF(ISBLANK(Table1[[#This Row],[Tipo de Servicio]]),"",Caratula!$D$16)</f>
        <v/>
      </c>
      <c r="F473" t="str">
        <f>_xlfn.XLOOKUP(Table1[[#This Row],[SelGZ]]&amp;Table1[[#This Row],[Tipo de Servicio]],CatPEP!A:A,CatPEP!C:C,"")</f>
        <v/>
      </c>
      <c r="G473" t="str">
        <f>_xlfn.XLOOKUP(Table1[[#This Row],[PEP]],CatPEP!C:C,CatPEP!D:D,"")</f>
        <v/>
      </c>
      <c r="O473" s="53">
        <f>SUMIF('Registro Refacciones'!B:B, I473, 'Registro Refacciones'!I:I)</f>
        <v>0</v>
      </c>
      <c r="P473" s="26">
        <f>Table1[[#This Row],[Costo Servicio]]+Table1[[#This Row],[Refacciones]]</f>
        <v>0</v>
      </c>
      <c r="Q473" s="26"/>
    </row>
    <row r="474" spans="1:17">
      <c r="A474" s="37" t="str">
        <f>IF(Table1[[#This Row],[Tipo de Servicio]]="","",Caratula!$D$15)</f>
        <v/>
      </c>
      <c r="B474" s="37" t="str">
        <f>IF(Table1[[#This Row],[Tipo de Servicio]]="","",Caratula!$D$16)</f>
        <v/>
      </c>
      <c r="C474" s="24" t="str">
        <f>IF(Table1[[#This Row],[Tipo de Servicio]]="","",Caratula!$D$17)</f>
        <v/>
      </c>
      <c r="D474" s="38" t="str">
        <f>IF(ISBLANK(Table1[[#This Row],[Tipo de Servicio]]),"",Caratula!$D$16)</f>
        <v/>
      </c>
      <c r="F474" t="str">
        <f>_xlfn.XLOOKUP(Table1[[#This Row],[SelGZ]]&amp;Table1[[#This Row],[Tipo de Servicio]],CatPEP!A:A,CatPEP!C:C,"")</f>
        <v/>
      </c>
      <c r="G474" t="str">
        <f>_xlfn.XLOOKUP(Table1[[#This Row],[PEP]],CatPEP!C:C,CatPEP!D:D,"")</f>
        <v/>
      </c>
      <c r="O474" s="53">
        <f>SUMIF('Registro Refacciones'!B:B, I474, 'Registro Refacciones'!I:I)</f>
        <v>0</v>
      </c>
      <c r="P474" s="26">
        <f>Table1[[#This Row],[Costo Servicio]]+Table1[[#This Row],[Refacciones]]</f>
        <v>0</v>
      </c>
      <c r="Q474" s="26"/>
    </row>
    <row r="475" spans="1:17">
      <c r="A475" s="37" t="str">
        <f>IF(Table1[[#This Row],[Tipo de Servicio]]="","",Caratula!$D$15)</f>
        <v/>
      </c>
      <c r="B475" s="37" t="str">
        <f>IF(Table1[[#This Row],[Tipo de Servicio]]="","",Caratula!$D$16)</f>
        <v/>
      </c>
      <c r="C475" s="24" t="str">
        <f>IF(Table1[[#This Row],[Tipo de Servicio]]="","",Caratula!$D$17)</f>
        <v/>
      </c>
      <c r="D475" s="38" t="str">
        <f>IF(ISBLANK(Table1[[#This Row],[Tipo de Servicio]]),"",Caratula!$D$16)</f>
        <v/>
      </c>
      <c r="F475" t="str">
        <f>_xlfn.XLOOKUP(Table1[[#This Row],[SelGZ]]&amp;Table1[[#This Row],[Tipo de Servicio]],CatPEP!A:A,CatPEP!C:C,"")</f>
        <v/>
      </c>
      <c r="G475" t="str">
        <f>_xlfn.XLOOKUP(Table1[[#This Row],[PEP]],CatPEP!C:C,CatPEP!D:D,"")</f>
        <v/>
      </c>
      <c r="O475" s="53">
        <f>SUMIF('Registro Refacciones'!B:B, I475, 'Registro Refacciones'!I:I)</f>
        <v>0</v>
      </c>
      <c r="P475" s="26">
        <f>Table1[[#This Row],[Costo Servicio]]+Table1[[#This Row],[Refacciones]]</f>
        <v>0</v>
      </c>
      <c r="Q475" s="26"/>
    </row>
    <row r="476" spans="1:17">
      <c r="A476" s="37" t="str">
        <f>IF(Table1[[#This Row],[Tipo de Servicio]]="","",Caratula!$D$15)</f>
        <v/>
      </c>
      <c r="B476" s="37" t="str">
        <f>IF(Table1[[#This Row],[Tipo de Servicio]]="","",Caratula!$D$16)</f>
        <v/>
      </c>
      <c r="C476" s="24" t="str">
        <f>IF(Table1[[#This Row],[Tipo de Servicio]]="","",Caratula!$D$17)</f>
        <v/>
      </c>
      <c r="D476" s="38" t="str">
        <f>IF(ISBLANK(Table1[[#This Row],[Tipo de Servicio]]),"",Caratula!$D$16)</f>
        <v/>
      </c>
      <c r="F476" t="str">
        <f>_xlfn.XLOOKUP(Table1[[#This Row],[SelGZ]]&amp;Table1[[#This Row],[Tipo de Servicio]],CatPEP!A:A,CatPEP!C:C,"")</f>
        <v/>
      </c>
      <c r="G476" t="str">
        <f>_xlfn.XLOOKUP(Table1[[#This Row],[PEP]],CatPEP!C:C,CatPEP!D:D,"")</f>
        <v/>
      </c>
      <c r="O476" s="53">
        <f>SUMIF('Registro Refacciones'!B:B, I476, 'Registro Refacciones'!I:I)</f>
        <v>0</v>
      </c>
      <c r="P476" s="26">
        <f>Table1[[#This Row],[Costo Servicio]]+Table1[[#This Row],[Refacciones]]</f>
        <v>0</v>
      </c>
      <c r="Q476" s="26"/>
    </row>
    <row r="477" spans="1:17">
      <c r="A477" s="37" t="str">
        <f>IF(Table1[[#This Row],[Tipo de Servicio]]="","",Caratula!$D$15)</f>
        <v/>
      </c>
      <c r="B477" s="37" t="str">
        <f>IF(Table1[[#This Row],[Tipo de Servicio]]="","",Caratula!$D$16)</f>
        <v/>
      </c>
      <c r="C477" s="24" t="str">
        <f>IF(Table1[[#This Row],[Tipo de Servicio]]="","",Caratula!$D$17)</f>
        <v/>
      </c>
      <c r="D477" s="38" t="str">
        <f>IF(ISBLANK(Table1[[#This Row],[Tipo de Servicio]]),"",Caratula!$D$16)</f>
        <v/>
      </c>
      <c r="F477" t="str">
        <f>_xlfn.XLOOKUP(Table1[[#This Row],[SelGZ]]&amp;Table1[[#This Row],[Tipo de Servicio]],CatPEP!A:A,CatPEP!C:C,"")</f>
        <v/>
      </c>
      <c r="G477" t="str">
        <f>_xlfn.XLOOKUP(Table1[[#This Row],[PEP]],CatPEP!C:C,CatPEP!D:D,"")</f>
        <v/>
      </c>
      <c r="O477" s="53">
        <f>SUMIF('Registro Refacciones'!B:B, I477, 'Registro Refacciones'!I:I)</f>
        <v>0</v>
      </c>
      <c r="P477" s="26">
        <f>Table1[[#This Row],[Costo Servicio]]+Table1[[#This Row],[Refacciones]]</f>
        <v>0</v>
      </c>
      <c r="Q477" s="26"/>
    </row>
    <row r="478" spans="1:17">
      <c r="A478" s="37" t="str">
        <f>IF(Table1[[#This Row],[Tipo de Servicio]]="","",Caratula!$D$15)</f>
        <v/>
      </c>
      <c r="B478" s="37" t="str">
        <f>IF(Table1[[#This Row],[Tipo de Servicio]]="","",Caratula!$D$16)</f>
        <v/>
      </c>
      <c r="C478" s="24" t="str">
        <f>IF(Table1[[#This Row],[Tipo de Servicio]]="","",Caratula!$D$17)</f>
        <v/>
      </c>
      <c r="D478" s="38" t="str">
        <f>IF(ISBLANK(Table1[[#This Row],[Tipo de Servicio]]),"",Caratula!$D$16)</f>
        <v/>
      </c>
      <c r="F478" t="str">
        <f>_xlfn.XLOOKUP(Table1[[#This Row],[SelGZ]]&amp;Table1[[#This Row],[Tipo de Servicio]],CatPEP!A:A,CatPEP!C:C,"")</f>
        <v/>
      </c>
      <c r="G478" t="str">
        <f>_xlfn.XLOOKUP(Table1[[#This Row],[PEP]],CatPEP!C:C,CatPEP!D:D,"")</f>
        <v/>
      </c>
      <c r="O478" s="53">
        <f>SUMIF('Registro Refacciones'!B:B, I478, 'Registro Refacciones'!I:I)</f>
        <v>0</v>
      </c>
      <c r="P478" s="26">
        <f>Table1[[#This Row],[Costo Servicio]]+Table1[[#This Row],[Refacciones]]</f>
        <v>0</v>
      </c>
      <c r="Q478" s="26"/>
    </row>
    <row r="479" spans="1:17">
      <c r="A479" s="37" t="str">
        <f>IF(Table1[[#This Row],[Tipo de Servicio]]="","",Caratula!$D$15)</f>
        <v/>
      </c>
      <c r="B479" s="37" t="str">
        <f>IF(Table1[[#This Row],[Tipo de Servicio]]="","",Caratula!$D$16)</f>
        <v/>
      </c>
      <c r="C479" s="24" t="str">
        <f>IF(Table1[[#This Row],[Tipo de Servicio]]="","",Caratula!$D$17)</f>
        <v/>
      </c>
      <c r="D479" s="38" t="str">
        <f>IF(ISBLANK(Table1[[#This Row],[Tipo de Servicio]]),"",Caratula!$D$16)</f>
        <v/>
      </c>
      <c r="F479" t="str">
        <f>_xlfn.XLOOKUP(Table1[[#This Row],[SelGZ]]&amp;Table1[[#This Row],[Tipo de Servicio]],CatPEP!A:A,CatPEP!C:C,"")</f>
        <v/>
      </c>
      <c r="G479" t="str">
        <f>_xlfn.XLOOKUP(Table1[[#This Row],[PEP]],CatPEP!C:C,CatPEP!D:D,"")</f>
        <v/>
      </c>
      <c r="O479" s="53">
        <f>SUMIF('Registro Refacciones'!B:B, I479, 'Registro Refacciones'!I:I)</f>
        <v>0</v>
      </c>
      <c r="P479" s="26">
        <f>Table1[[#This Row],[Costo Servicio]]+Table1[[#This Row],[Refacciones]]</f>
        <v>0</v>
      </c>
      <c r="Q479" s="26"/>
    </row>
    <row r="480" spans="1:17">
      <c r="A480" s="37" t="str">
        <f>IF(Table1[[#This Row],[Tipo de Servicio]]="","",Caratula!$D$15)</f>
        <v/>
      </c>
      <c r="B480" s="37" t="str">
        <f>IF(Table1[[#This Row],[Tipo de Servicio]]="","",Caratula!$D$16)</f>
        <v/>
      </c>
      <c r="C480" s="24" t="str">
        <f>IF(Table1[[#This Row],[Tipo de Servicio]]="","",Caratula!$D$17)</f>
        <v/>
      </c>
      <c r="D480" s="38" t="str">
        <f>IF(ISBLANK(Table1[[#This Row],[Tipo de Servicio]]),"",Caratula!$D$16)</f>
        <v/>
      </c>
      <c r="F480" t="str">
        <f>_xlfn.XLOOKUP(Table1[[#This Row],[SelGZ]]&amp;Table1[[#This Row],[Tipo de Servicio]],CatPEP!A:A,CatPEP!C:C,"")</f>
        <v/>
      </c>
      <c r="G480" t="str">
        <f>_xlfn.XLOOKUP(Table1[[#This Row],[PEP]],CatPEP!C:C,CatPEP!D:D,"")</f>
        <v/>
      </c>
      <c r="O480" s="53">
        <f>SUMIF('Registro Refacciones'!B:B, I480, 'Registro Refacciones'!I:I)</f>
        <v>0</v>
      </c>
      <c r="P480" s="26">
        <f>Table1[[#This Row],[Costo Servicio]]+Table1[[#This Row],[Refacciones]]</f>
        <v>0</v>
      </c>
      <c r="Q480" s="26"/>
    </row>
    <row r="481" spans="1:17">
      <c r="A481" s="37" t="str">
        <f>IF(Table1[[#This Row],[Tipo de Servicio]]="","",Caratula!$D$15)</f>
        <v/>
      </c>
      <c r="B481" s="37" t="str">
        <f>IF(Table1[[#This Row],[Tipo de Servicio]]="","",Caratula!$D$16)</f>
        <v/>
      </c>
      <c r="C481" s="24" t="str">
        <f>IF(Table1[[#This Row],[Tipo de Servicio]]="","",Caratula!$D$17)</f>
        <v/>
      </c>
      <c r="D481" s="38" t="str">
        <f>IF(ISBLANK(Table1[[#This Row],[Tipo de Servicio]]),"",Caratula!$D$16)</f>
        <v/>
      </c>
      <c r="F481" t="str">
        <f>_xlfn.XLOOKUP(Table1[[#This Row],[SelGZ]]&amp;Table1[[#This Row],[Tipo de Servicio]],CatPEP!A:A,CatPEP!C:C,"")</f>
        <v/>
      </c>
      <c r="G481" t="str">
        <f>_xlfn.XLOOKUP(Table1[[#This Row],[PEP]],CatPEP!C:C,CatPEP!D:D,"")</f>
        <v/>
      </c>
      <c r="O481" s="53">
        <f>SUMIF('Registro Refacciones'!B:B, I481, 'Registro Refacciones'!I:I)</f>
        <v>0</v>
      </c>
      <c r="P481" s="26">
        <f>Table1[[#This Row],[Costo Servicio]]+Table1[[#This Row],[Refacciones]]</f>
        <v>0</v>
      </c>
      <c r="Q481" s="26"/>
    </row>
    <row r="482" spans="1:17">
      <c r="A482" s="37" t="str">
        <f>IF(Table1[[#This Row],[Tipo de Servicio]]="","",Caratula!$D$15)</f>
        <v/>
      </c>
      <c r="B482" s="37" t="str">
        <f>IF(Table1[[#This Row],[Tipo de Servicio]]="","",Caratula!$D$16)</f>
        <v/>
      </c>
      <c r="C482" s="24" t="str">
        <f>IF(Table1[[#This Row],[Tipo de Servicio]]="","",Caratula!$D$17)</f>
        <v/>
      </c>
      <c r="D482" s="38" t="str">
        <f>IF(ISBLANK(Table1[[#This Row],[Tipo de Servicio]]),"",Caratula!$D$16)</f>
        <v/>
      </c>
      <c r="F482" t="str">
        <f>_xlfn.XLOOKUP(Table1[[#This Row],[SelGZ]]&amp;Table1[[#This Row],[Tipo de Servicio]],CatPEP!A:A,CatPEP!C:C,"")</f>
        <v/>
      </c>
      <c r="G482" t="str">
        <f>_xlfn.XLOOKUP(Table1[[#This Row],[PEP]],CatPEP!C:C,CatPEP!D:D,"")</f>
        <v/>
      </c>
      <c r="O482" s="53">
        <f>SUMIF('Registro Refacciones'!B:B, I482, 'Registro Refacciones'!I:I)</f>
        <v>0</v>
      </c>
      <c r="P482" s="26">
        <f>Table1[[#This Row],[Costo Servicio]]+Table1[[#This Row],[Refacciones]]</f>
        <v>0</v>
      </c>
      <c r="Q482" s="26"/>
    </row>
    <row r="483" spans="1:17">
      <c r="A483" s="37" t="str">
        <f>IF(Table1[[#This Row],[Tipo de Servicio]]="","",Caratula!$D$15)</f>
        <v/>
      </c>
      <c r="B483" s="37" t="str">
        <f>IF(Table1[[#This Row],[Tipo de Servicio]]="","",Caratula!$D$16)</f>
        <v/>
      </c>
      <c r="C483" s="24" t="str">
        <f>IF(Table1[[#This Row],[Tipo de Servicio]]="","",Caratula!$D$17)</f>
        <v/>
      </c>
      <c r="D483" s="38" t="str">
        <f>IF(ISBLANK(Table1[[#This Row],[Tipo de Servicio]]),"",Caratula!$D$16)</f>
        <v/>
      </c>
      <c r="F483" t="str">
        <f>_xlfn.XLOOKUP(Table1[[#This Row],[SelGZ]]&amp;Table1[[#This Row],[Tipo de Servicio]],CatPEP!A:A,CatPEP!C:C,"")</f>
        <v/>
      </c>
      <c r="G483" t="str">
        <f>_xlfn.XLOOKUP(Table1[[#This Row],[PEP]],CatPEP!C:C,CatPEP!D:D,"")</f>
        <v/>
      </c>
      <c r="O483" s="53">
        <f>SUMIF('Registro Refacciones'!B:B, I483, 'Registro Refacciones'!I:I)</f>
        <v>0</v>
      </c>
      <c r="P483" s="26">
        <f>Table1[[#This Row],[Costo Servicio]]+Table1[[#This Row],[Refacciones]]</f>
        <v>0</v>
      </c>
      <c r="Q483" s="26"/>
    </row>
    <row r="484" spans="1:17">
      <c r="A484" s="37" t="str">
        <f>IF(Table1[[#This Row],[Tipo de Servicio]]="","",Caratula!$D$15)</f>
        <v/>
      </c>
      <c r="B484" s="37" t="str">
        <f>IF(Table1[[#This Row],[Tipo de Servicio]]="","",Caratula!$D$16)</f>
        <v/>
      </c>
      <c r="C484" s="24" t="str">
        <f>IF(Table1[[#This Row],[Tipo de Servicio]]="","",Caratula!$D$17)</f>
        <v/>
      </c>
      <c r="D484" s="38" t="str">
        <f>IF(ISBLANK(Table1[[#This Row],[Tipo de Servicio]]),"",Caratula!$D$16)</f>
        <v/>
      </c>
      <c r="F484" t="str">
        <f>_xlfn.XLOOKUP(Table1[[#This Row],[SelGZ]]&amp;Table1[[#This Row],[Tipo de Servicio]],CatPEP!A:A,CatPEP!C:C,"")</f>
        <v/>
      </c>
      <c r="G484" t="str">
        <f>_xlfn.XLOOKUP(Table1[[#This Row],[PEP]],CatPEP!C:C,CatPEP!D:D,"")</f>
        <v/>
      </c>
      <c r="O484" s="53">
        <f>SUMIF('Registro Refacciones'!B:B, I484, 'Registro Refacciones'!I:I)</f>
        <v>0</v>
      </c>
      <c r="P484" s="26">
        <f>Table1[[#This Row],[Costo Servicio]]+Table1[[#This Row],[Refacciones]]</f>
        <v>0</v>
      </c>
      <c r="Q484" s="26"/>
    </row>
    <row r="485" spans="1:17">
      <c r="A485" s="37" t="str">
        <f>IF(Table1[[#This Row],[Tipo de Servicio]]="","",Caratula!$D$15)</f>
        <v/>
      </c>
      <c r="B485" s="37" t="str">
        <f>IF(Table1[[#This Row],[Tipo de Servicio]]="","",Caratula!$D$16)</f>
        <v/>
      </c>
      <c r="C485" s="24" t="str">
        <f>IF(Table1[[#This Row],[Tipo de Servicio]]="","",Caratula!$D$17)</f>
        <v/>
      </c>
      <c r="D485" s="38" t="str">
        <f>IF(ISBLANK(Table1[[#This Row],[Tipo de Servicio]]),"",Caratula!$D$16)</f>
        <v/>
      </c>
      <c r="F485" t="str">
        <f>_xlfn.XLOOKUP(Table1[[#This Row],[SelGZ]]&amp;Table1[[#This Row],[Tipo de Servicio]],CatPEP!A:A,CatPEP!C:C,"")</f>
        <v/>
      </c>
      <c r="G485" t="str">
        <f>_xlfn.XLOOKUP(Table1[[#This Row],[PEP]],CatPEP!C:C,CatPEP!D:D,"")</f>
        <v/>
      </c>
      <c r="O485" s="53">
        <f>SUMIF('Registro Refacciones'!B:B, I485, 'Registro Refacciones'!I:I)</f>
        <v>0</v>
      </c>
      <c r="P485" s="26">
        <f>Table1[[#This Row],[Costo Servicio]]+Table1[[#This Row],[Refacciones]]</f>
        <v>0</v>
      </c>
      <c r="Q485" s="26"/>
    </row>
    <row r="486" spans="1:17">
      <c r="A486" s="37" t="str">
        <f>IF(Table1[[#This Row],[Tipo de Servicio]]="","",Caratula!$D$15)</f>
        <v/>
      </c>
      <c r="B486" s="37" t="str">
        <f>IF(Table1[[#This Row],[Tipo de Servicio]]="","",Caratula!$D$16)</f>
        <v/>
      </c>
      <c r="C486" s="24" t="str">
        <f>IF(Table1[[#This Row],[Tipo de Servicio]]="","",Caratula!$D$17)</f>
        <v/>
      </c>
      <c r="D486" s="38" t="str">
        <f>IF(ISBLANK(Table1[[#This Row],[Tipo de Servicio]]),"",Caratula!$D$16)</f>
        <v/>
      </c>
      <c r="F486" t="str">
        <f>_xlfn.XLOOKUP(Table1[[#This Row],[SelGZ]]&amp;Table1[[#This Row],[Tipo de Servicio]],CatPEP!A:A,CatPEP!C:C,"")</f>
        <v/>
      </c>
      <c r="G486" t="str">
        <f>_xlfn.XLOOKUP(Table1[[#This Row],[PEP]],CatPEP!C:C,CatPEP!D:D,"")</f>
        <v/>
      </c>
      <c r="O486" s="53">
        <f>SUMIF('Registro Refacciones'!B:B, I486, 'Registro Refacciones'!I:I)</f>
        <v>0</v>
      </c>
      <c r="P486" s="26">
        <f>Table1[[#This Row],[Costo Servicio]]+Table1[[#This Row],[Refacciones]]</f>
        <v>0</v>
      </c>
      <c r="Q486" s="26"/>
    </row>
    <row r="487" spans="1:17">
      <c r="A487" s="37" t="str">
        <f>IF(Table1[[#This Row],[Tipo de Servicio]]="","",Caratula!$D$15)</f>
        <v/>
      </c>
      <c r="B487" s="37" t="str">
        <f>IF(Table1[[#This Row],[Tipo de Servicio]]="","",Caratula!$D$16)</f>
        <v/>
      </c>
      <c r="C487" s="24" t="str">
        <f>IF(Table1[[#This Row],[Tipo de Servicio]]="","",Caratula!$D$17)</f>
        <v/>
      </c>
      <c r="D487" s="38" t="str">
        <f>IF(ISBLANK(Table1[[#This Row],[Tipo de Servicio]]),"",Caratula!$D$16)</f>
        <v/>
      </c>
      <c r="F487" t="str">
        <f>_xlfn.XLOOKUP(Table1[[#This Row],[SelGZ]]&amp;Table1[[#This Row],[Tipo de Servicio]],CatPEP!A:A,CatPEP!C:C,"")</f>
        <v/>
      </c>
      <c r="G487" t="str">
        <f>_xlfn.XLOOKUP(Table1[[#This Row],[PEP]],CatPEP!C:C,CatPEP!D:D,"")</f>
        <v/>
      </c>
      <c r="O487" s="53">
        <f>SUMIF('Registro Refacciones'!B:B, I487, 'Registro Refacciones'!I:I)</f>
        <v>0</v>
      </c>
      <c r="P487" s="26">
        <f>Table1[[#This Row],[Costo Servicio]]+Table1[[#This Row],[Refacciones]]</f>
        <v>0</v>
      </c>
      <c r="Q487" s="26"/>
    </row>
    <row r="488" spans="1:17">
      <c r="A488" s="37" t="str">
        <f>IF(Table1[[#This Row],[Tipo de Servicio]]="","",Caratula!$D$15)</f>
        <v/>
      </c>
      <c r="B488" s="37" t="str">
        <f>IF(Table1[[#This Row],[Tipo de Servicio]]="","",Caratula!$D$16)</f>
        <v/>
      </c>
      <c r="C488" s="24" t="str">
        <f>IF(Table1[[#This Row],[Tipo de Servicio]]="","",Caratula!$D$17)</f>
        <v/>
      </c>
      <c r="D488" s="38" t="str">
        <f>IF(ISBLANK(Table1[[#This Row],[Tipo de Servicio]]),"",Caratula!$D$16)</f>
        <v/>
      </c>
      <c r="F488" t="str">
        <f>_xlfn.XLOOKUP(Table1[[#This Row],[SelGZ]]&amp;Table1[[#This Row],[Tipo de Servicio]],CatPEP!A:A,CatPEP!C:C,"")</f>
        <v/>
      </c>
      <c r="G488" t="str">
        <f>_xlfn.XLOOKUP(Table1[[#This Row],[PEP]],CatPEP!C:C,CatPEP!D:D,"")</f>
        <v/>
      </c>
      <c r="O488" s="53">
        <f>SUMIF('Registro Refacciones'!B:B, I488, 'Registro Refacciones'!I:I)</f>
        <v>0</v>
      </c>
      <c r="P488" s="26">
        <f>Table1[[#This Row],[Costo Servicio]]+Table1[[#This Row],[Refacciones]]</f>
        <v>0</v>
      </c>
      <c r="Q488" s="26"/>
    </row>
    <row r="489" spans="1:17">
      <c r="A489" s="37" t="str">
        <f>IF(Table1[[#This Row],[Tipo de Servicio]]="","",Caratula!$D$15)</f>
        <v/>
      </c>
      <c r="B489" s="37" t="str">
        <f>IF(Table1[[#This Row],[Tipo de Servicio]]="","",Caratula!$D$16)</f>
        <v/>
      </c>
      <c r="C489" s="24" t="str">
        <f>IF(Table1[[#This Row],[Tipo de Servicio]]="","",Caratula!$D$17)</f>
        <v/>
      </c>
      <c r="D489" s="38" t="str">
        <f>IF(ISBLANK(Table1[[#This Row],[Tipo de Servicio]]),"",Caratula!$D$16)</f>
        <v/>
      </c>
      <c r="F489" t="str">
        <f>_xlfn.XLOOKUP(Table1[[#This Row],[SelGZ]]&amp;Table1[[#This Row],[Tipo de Servicio]],CatPEP!A:A,CatPEP!C:C,"")</f>
        <v/>
      </c>
      <c r="G489" t="str">
        <f>_xlfn.XLOOKUP(Table1[[#This Row],[PEP]],CatPEP!C:C,CatPEP!D:D,"")</f>
        <v/>
      </c>
      <c r="O489" s="53">
        <f>SUMIF('Registro Refacciones'!B:B, I489, 'Registro Refacciones'!I:I)</f>
        <v>0</v>
      </c>
      <c r="P489" s="26">
        <f>Table1[[#This Row],[Costo Servicio]]+Table1[[#This Row],[Refacciones]]</f>
        <v>0</v>
      </c>
      <c r="Q489" s="26"/>
    </row>
    <row r="490" spans="1:17">
      <c r="A490" s="37" t="str">
        <f>IF(Table1[[#This Row],[Tipo de Servicio]]="","",Caratula!$D$15)</f>
        <v/>
      </c>
      <c r="B490" s="37" t="str">
        <f>IF(Table1[[#This Row],[Tipo de Servicio]]="","",Caratula!$D$16)</f>
        <v/>
      </c>
      <c r="C490" s="24" t="str">
        <f>IF(Table1[[#This Row],[Tipo de Servicio]]="","",Caratula!$D$17)</f>
        <v/>
      </c>
      <c r="D490" s="38" t="str">
        <f>IF(ISBLANK(Table1[[#This Row],[Tipo de Servicio]]),"",Caratula!$D$16)</f>
        <v/>
      </c>
      <c r="F490" t="str">
        <f>_xlfn.XLOOKUP(Table1[[#This Row],[SelGZ]]&amp;Table1[[#This Row],[Tipo de Servicio]],CatPEP!A:A,CatPEP!C:C,"")</f>
        <v/>
      </c>
      <c r="G490" t="str">
        <f>_xlfn.XLOOKUP(Table1[[#This Row],[PEP]],CatPEP!C:C,CatPEP!D:D,"")</f>
        <v/>
      </c>
      <c r="O490" s="53">
        <f>SUMIF('Registro Refacciones'!B:B, I490, 'Registro Refacciones'!I:I)</f>
        <v>0</v>
      </c>
      <c r="P490" s="26">
        <f>Table1[[#This Row],[Costo Servicio]]+Table1[[#This Row],[Refacciones]]</f>
        <v>0</v>
      </c>
      <c r="Q490" s="26"/>
    </row>
    <row r="491" spans="1:17">
      <c r="A491" s="37" t="str">
        <f>IF(Table1[[#This Row],[Tipo de Servicio]]="","",Caratula!$D$15)</f>
        <v/>
      </c>
      <c r="B491" s="37" t="str">
        <f>IF(Table1[[#This Row],[Tipo de Servicio]]="","",Caratula!$D$16)</f>
        <v/>
      </c>
      <c r="C491" s="24" t="str">
        <f>IF(Table1[[#This Row],[Tipo de Servicio]]="","",Caratula!$D$17)</f>
        <v/>
      </c>
      <c r="D491" s="38" t="str">
        <f>IF(ISBLANK(Table1[[#This Row],[Tipo de Servicio]]),"",Caratula!$D$16)</f>
        <v/>
      </c>
      <c r="F491" t="str">
        <f>_xlfn.XLOOKUP(Table1[[#This Row],[SelGZ]]&amp;Table1[[#This Row],[Tipo de Servicio]],CatPEP!A:A,CatPEP!C:C,"")</f>
        <v/>
      </c>
      <c r="G491" t="str">
        <f>_xlfn.XLOOKUP(Table1[[#This Row],[PEP]],CatPEP!C:C,CatPEP!D:D,"")</f>
        <v/>
      </c>
      <c r="O491" s="53">
        <f>SUMIF('Registro Refacciones'!B:B, I491, 'Registro Refacciones'!I:I)</f>
        <v>0</v>
      </c>
      <c r="P491" s="26">
        <f>Table1[[#This Row],[Costo Servicio]]+Table1[[#This Row],[Refacciones]]</f>
        <v>0</v>
      </c>
      <c r="Q491" s="26"/>
    </row>
    <row r="492" spans="1:17">
      <c r="A492" s="37" t="str">
        <f>IF(Table1[[#This Row],[Tipo de Servicio]]="","",Caratula!$D$15)</f>
        <v/>
      </c>
      <c r="B492" s="37" t="str">
        <f>IF(Table1[[#This Row],[Tipo de Servicio]]="","",Caratula!$D$16)</f>
        <v/>
      </c>
      <c r="C492" s="24" t="str">
        <f>IF(Table1[[#This Row],[Tipo de Servicio]]="","",Caratula!$D$17)</f>
        <v/>
      </c>
      <c r="D492" s="38" t="str">
        <f>IF(ISBLANK(Table1[[#This Row],[Tipo de Servicio]]),"",Caratula!$D$16)</f>
        <v/>
      </c>
      <c r="F492" t="str">
        <f>_xlfn.XLOOKUP(Table1[[#This Row],[SelGZ]]&amp;Table1[[#This Row],[Tipo de Servicio]],CatPEP!A:A,CatPEP!C:C,"")</f>
        <v/>
      </c>
      <c r="G492" t="str">
        <f>_xlfn.XLOOKUP(Table1[[#This Row],[PEP]],CatPEP!C:C,CatPEP!D:D,"")</f>
        <v/>
      </c>
      <c r="O492" s="53">
        <f>SUMIF('Registro Refacciones'!B:B, I492, 'Registro Refacciones'!I:I)</f>
        <v>0</v>
      </c>
      <c r="P492" s="26">
        <f>Table1[[#This Row],[Costo Servicio]]+Table1[[#This Row],[Refacciones]]</f>
        <v>0</v>
      </c>
      <c r="Q492" s="26"/>
    </row>
    <row r="493" spans="1:17">
      <c r="A493" s="37" t="str">
        <f>IF(Table1[[#This Row],[Tipo de Servicio]]="","",Caratula!$D$15)</f>
        <v/>
      </c>
      <c r="B493" s="37" t="str">
        <f>IF(Table1[[#This Row],[Tipo de Servicio]]="","",Caratula!$D$16)</f>
        <v/>
      </c>
      <c r="C493" s="24" t="str">
        <f>IF(Table1[[#This Row],[Tipo de Servicio]]="","",Caratula!$D$17)</f>
        <v/>
      </c>
      <c r="D493" s="38" t="str">
        <f>IF(ISBLANK(Table1[[#This Row],[Tipo de Servicio]]),"",Caratula!$D$16)</f>
        <v/>
      </c>
      <c r="F493" t="str">
        <f>_xlfn.XLOOKUP(Table1[[#This Row],[SelGZ]]&amp;Table1[[#This Row],[Tipo de Servicio]],CatPEP!A:A,CatPEP!C:C,"")</f>
        <v/>
      </c>
      <c r="G493" t="str">
        <f>_xlfn.XLOOKUP(Table1[[#This Row],[PEP]],CatPEP!C:C,CatPEP!D:D,"")</f>
        <v/>
      </c>
      <c r="O493" s="53">
        <f>SUMIF('Registro Refacciones'!B:B, I493, 'Registro Refacciones'!I:I)</f>
        <v>0</v>
      </c>
      <c r="P493" s="26">
        <f>Table1[[#This Row],[Costo Servicio]]+Table1[[#This Row],[Refacciones]]</f>
        <v>0</v>
      </c>
      <c r="Q493" s="26"/>
    </row>
    <row r="494" spans="1:17">
      <c r="A494" s="37" t="str">
        <f>IF(Table1[[#This Row],[Tipo de Servicio]]="","",Caratula!$D$15)</f>
        <v/>
      </c>
      <c r="B494" s="37" t="str">
        <f>IF(Table1[[#This Row],[Tipo de Servicio]]="","",Caratula!$D$16)</f>
        <v/>
      </c>
      <c r="C494" s="24" t="str">
        <f>IF(Table1[[#This Row],[Tipo de Servicio]]="","",Caratula!$D$17)</f>
        <v/>
      </c>
      <c r="D494" s="38" t="str">
        <f>IF(ISBLANK(Table1[[#This Row],[Tipo de Servicio]]),"",Caratula!$D$16)</f>
        <v/>
      </c>
      <c r="F494" t="str">
        <f>_xlfn.XLOOKUP(Table1[[#This Row],[SelGZ]]&amp;Table1[[#This Row],[Tipo de Servicio]],CatPEP!A:A,CatPEP!C:C,"")</f>
        <v/>
      </c>
      <c r="G494" t="str">
        <f>_xlfn.XLOOKUP(Table1[[#This Row],[PEP]],CatPEP!C:C,CatPEP!D:D,"")</f>
        <v/>
      </c>
      <c r="O494" s="53">
        <f>SUMIF('Registro Refacciones'!B:B, I494, 'Registro Refacciones'!I:I)</f>
        <v>0</v>
      </c>
      <c r="P494" s="26">
        <f>Table1[[#This Row],[Costo Servicio]]+Table1[[#This Row],[Refacciones]]</f>
        <v>0</v>
      </c>
      <c r="Q494" s="26"/>
    </row>
    <row r="495" spans="1:17">
      <c r="A495" s="37" t="str">
        <f>IF(Table1[[#This Row],[Tipo de Servicio]]="","",Caratula!$D$15)</f>
        <v/>
      </c>
      <c r="B495" s="37" t="str">
        <f>IF(Table1[[#This Row],[Tipo de Servicio]]="","",Caratula!$D$16)</f>
        <v/>
      </c>
      <c r="C495" s="24" t="str">
        <f>IF(Table1[[#This Row],[Tipo de Servicio]]="","",Caratula!$D$17)</f>
        <v/>
      </c>
      <c r="D495" s="38" t="str">
        <f>IF(ISBLANK(Table1[[#This Row],[Tipo de Servicio]]),"",Caratula!$D$16)</f>
        <v/>
      </c>
      <c r="F495" t="str">
        <f>_xlfn.XLOOKUP(Table1[[#This Row],[SelGZ]]&amp;Table1[[#This Row],[Tipo de Servicio]],CatPEP!A:A,CatPEP!C:C,"")</f>
        <v/>
      </c>
      <c r="G495" t="str">
        <f>_xlfn.XLOOKUP(Table1[[#This Row],[PEP]],CatPEP!C:C,CatPEP!D:D,"")</f>
        <v/>
      </c>
      <c r="O495" s="53">
        <f>SUMIF('Registro Refacciones'!B:B, I495, 'Registro Refacciones'!I:I)</f>
        <v>0</v>
      </c>
      <c r="P495" s="26">
        <f>Table1[[#This Row],[Costo Servicio]]+Table1[[#This Row],[Refacciones]]</f>
        <v>0</v>
      </c>
      <c r="Q495" s="26"/>
    </row>
    <row r="496" spans="1:17">
      <c r="A496" s="37" t="str">
        <f>IF(Table1[[#This Row],[Tipo de Servicio]]="","",Caratula!$D$15)</f>
        <v/>
      </c>
      <c r="B496" s="37" t="str">
        <f>IF(Table1[[#This Row],[Tipo de Servicio]]="","",Caratula!$D$16)</f>
        <v/>
      </c>
      <c r="C496" s="24" t="str">
        <f>IF(Table1[[#This Row],[Tipo de Servicio]]="","",Caratula!$D$17)</f>
        <v/>
      </c>
      <c r="D496" s="38" t="str">
        <f>IF(ISBLANK(Table1[[#This Row],[Tipo de Servicio]]),"",Caratula!$D$16)</f>
        <v/>
      </c>
      <c r="F496" t="str">
        <f>_xlfn.XLOOKUP(Table1[[#This Row],[SelGZ]]&amp;Table1[[#This Row],[Tipo de Servicio]],CatPEP!A:A,CatPEP!C:C,"")</f>
        <v/>
      </c>
      <c r="G496" t="str">
        <f>_xlfn.XLOOKUP(Table1[[#This Row],[PEP]],CatPEP!C:C,CatPEP!D:D,"")</f>
        <v/>
      </c>
      <c r="O496" s="53">
        <f>SUMIF('Registro Refacciones'!B:B, I496, 'Registro Refacciones'!I:I)</f>
        <v>0</v>
      </c>
      <c r="P496" s="26">
        <f>Table1[[#This Row],[Costo Servicio]]+Table1[[#This Row],[Refacciones]]</f>
        <v>0</v>
      </c>
      <c r="Q496" s="26"/>
    </row>
    <row r="497" spans="1:17">
      <c r="A497" s="37" t="str">
        <f>IF(Table1[[#This Row],[Tipo de Servicio]]="","",Caratula!$D$15)</f>
        <v/>
      </c>
      <c r="B497" s="37" t="str">
        <f>IF(Table1[[#This Row],[Tipo de Servicio]]="","",Caratula!$D$16)</f>
        <v/>
      </c>
      <c r="C497" s="24" t="str">
        <f>IF(Table1[[#This Row],[Tipo de Servicio]]="","",Caratula!$D$17)</f>
        <v/>
      </c>
      <c r="D497" s="38" t="str">
        <f>IF(ISBLANK(Table1[[#This Row],[Tipo de Servicio]]),"",Caratula!$D$16)</f>
        <v/>
      </c>
      <c r="F497" t="str">
        <f>_xlfn.XLOOKUP(Table1[[#This Row],[SelGZ]]&amp;Table1[[#This Row],[Tipo de Servicio]],CatPEP!A:A,CatPEP!C:C,"")</f>
        <v/>
      </c>
      <c r="G497" t="str">
        <f>_xlfn.XLOOKUP(Table1[[#This Row],[PEP]],CatPEP!C:C,CatPEP!D:D,"")</f>
        <v/>
      </c>
      <c r="O497" s="53">
        <f>SUMIF('Registro Refacciones'!B:B, I497, 'Registro Refacciones'!I:I)</f>
        <v>0</v>
      </c>
      <c r="P497" s="26">
        <f>Table1[[#This Row],[Costo Servicio]]+Table1[[#This Row],[Refacciones]]</f>
        <v>0</v>
      </c>
      <c r="Q497" s="26"/>
    </row>
    <row r="498" spans="1:17">
      <c r="A498" s="37" t="str">
        <f>IF(Table1[[#This Row],[Tipo de Servicio]]="","",Caratula!$D$15)</f>
        <v/>
      </c>
      <c r="B498" s="37" t="str">
        <f>IF(Table1[[#This Row],[Tipo de Servicio]]="","",Caratula!$D$16)</f>
        <v/>
      </c>
      <c r="C498" s="24" t="str">
        <f>IF(Table1[[#This Row],[Tipo de Servicio]]="","",Caratula!$D$17)</f>
        <v/>
      </c>
      <c r="D498" s="38" t="str">
        <f>IF(ISBLANK(Table1[[#This Row],[Tipo de Servicio]]),"",Caratula!$D$16)</f>
        <v/>
      </c>
      <c r="F498" t="str">
        <f>_xlfn.XLOOKUP(Table1[[#This Row],[SelGZ]]&amp;Table1[[#This Row],[Tipo de Servicio]],CatPEP!A:A,CatPEP!C:C,"")</f>
        <v/>
      </c>
      <c r="G498" t="str">
        <f>_xlfn.XLOOKUP(Table1[[#This Row],[PEP]],CatPEP!C:C,CatPEP!D:D,"")</f>
        <v/>
      </c>
      <c r="O498" s="53">
        <f>SUMIF('Registro Refacciones'!B:B, I498, 'Registro Refacciones'!I:I)</f>
        <v>0</v>
      </c>
      <c r="P498" s="26">
        <f>Table1[[#This Row],[Costo Servicio]]+Table1[[#This Row],[Refacciones]]</f>
        <v>0</v>
      </c>
      <c r="Q498" s="26"/>
    </row>
    <row r="499" spans="1:17">
      <c r="A499" s="37" t="str">
        <f>IF(Table1[[#This Row],[Tipo de Servicio]]="","",Caratula!$D$15)</f>
        <v/>
      </c>
      <c r="B499" s="37" t="str">
        <f>IF(Table1[[#This Row],[Tipo de Servicio]]="","",Caratula!$D$16)</f>
        <v/>
      </c>
      <c r="C499" s="24" t="str">
        <f>IF(Table1[[#This Row],[Tipo de Servicio]]="","",Caratula!$D$17)</f>
        <v/>
      </c>
      <c r="D499" s="38" t="str">
        <f>IF(ISBLANK(Table1[[#This Row],[Tipo de Servicio]]),"",Caratula!$D$16)</f>
        <v/>
      </c>
      <c r="F499" t="str">
        <f>_xlfn.XLOOKUP(Table1[[#This Row],[SelGZ]]&amp;Table1[[#This Row],[Tipo de Servicio]],CatPEP!A:A,CatPEP!C:C,"")</f>
        <v/>
      </c>
      <c r="G499" t="str">
        <f>_xlfn.XLOOKUP(Table1[[#This Row],[PEP]],CatPEP!C:C,CatPEP!D:D,"")</f>
        <v/>
      </c>
      <c r="O499" s="53">
        <f>SUMIF('Registro Refacciones'!B:B, I499, 'Registro Refacciones'!I:I)</f>
        <v>0</v>
      </c>
      <c r="P499" s="26">
        <f>Table1[[#This Row],[Costo Servicio]]+Table1[[#This Row],[Refacciones]]</f>
        <v>0</v>
      </c>
      <c r="Q499" s="26"/>
    </row>
    <row r="500" spans="1:17">
      <c r="A500" s="37" t="str">
        <f>IF(Table1[[#This Row],[Tipo de Servicio]]="","",Caratula!$D$15)</f>
        <v/>
      </c>
      <c r="B500" s="37" t="str">
        <f>IF(Table1[[#This Row],[Tipo de Servicio]]="","",Caratula!$D$16)</f>
        <v/>
      </c>
      <c r="C500" s="24" t="str">
        <f>IF(Table1[[#This Row],[Tipo de Servicio]]="","",Caratula!$D$17)</f>
        <v/>
      </c>
      <c r="D500" s="38" t="str">
        <f>IF(ISBLANK(Table1[[#This Row],[Tipo de Servicio]]),"",Caratula!$D$16)</f>
        <v/>
      </c>
      <c r="F500" t="str">
        <f>_xlfn.XLOOKUP(Table1[[#This Row],[SelGZ]]&amp;Table1[[#This Row],[Tipo de Servicio]],CatPEP!A:A,CatPEP!C:C,"")</f>
        <v/>
      </c>
      <c r="G500" t="str">
        <f>_xlfn.XLOOKUP(Table1[[#This Row],[PEP]],CatPEP!C:C,CatPEP!D:D,"")</f>
        <v/>
      </c>
      <c r="O500" s="53">
        <f>SUMIF('Registro Refacciones'!B:B, I500, 'Registro Refacciones'!I:I)</f>
        <v>0</v>
      </c>
      <c r="P500" s="26">
        <f>Table1[[#This Row],[Costo Servicio]]+Table1[[#This Row],[Refacciones]]</f>
        <v>0</v>
      </c>
      <c r="Q500" s="26"/>
    </row>
    <row r="501" spans="1:17">
      <c r="A501" s="37" t="str">
        <f>IF(Table1[[#This Row],[Tipo de Servicio]]="","",Caratula!$D$15)</f>
        <v/>
      </c>
      <c r="B501" s="37" t="str">
        <f>IF(Table1[[#This Row],[Tipo de Servicio]]="","",Caratula!$D$16)</f>
        <v/>
      </c>
      <c r="C501" s="24" t="str">
        <f>IF(Table1[[#This Row],[Tipo de Servicio]]="","",Caratula!$D$17)</f>
        <v/>
      </c>
      <c r="D501" s="38" t="str">
        <f>IF(ISBLANK(Table1[[#This Row],[Tipo de Servicio]]),"",Caratula!$D$16)</f>
        <v/>
      </c>
      <c r="F501" t="str">
        <f>_xlfn.XLOOKUP(Table1[[#This Row],[SelGZ]]&amp;Table1[[#This Row],[Tipo de Servicio]],CatPEP!A:A,CatPEP!C:C,"")</f>
        <v/>
      </c>
      <c r="G501" t="str">
        <f>_xlfn.XLOOKUP(Table1[[#This Row],[PEP]],CatPEP!C:C,CatPEP!D:D,"")</f>
        <v/>
      </c>
      <c r="O501" s="53">
        <f>SUMIF('Registro Refacciones'!B:B, I501, 'Registro Refacciones'!I:I)</f>
        <v>0</v>
      </c>
      <c r="P501" s="26">
        <f>Table1[[#This Row],[Costo Servicio]]+Table1[[#This Row],[Refacciones]]</f>
        <v>0</v>
      </c>
      <c r="Q501" s="26"/>
    </row>
    <row r="502" spans="1:17">
      <c r="A502" s="37" t="str">
        <f>IF(Table1[[#This Row],[Tipo de Servicio]]="","",Caratula!$D$15)</f>
        <v/>
      </c>
      <c r="B502" s="37" t="str">
        <f>IF(Table1[[#This Row],[Tipo de Servicio]]="","",Caratula!$D$16)</f>
        <v/>
      </c>
      <c r="C502" s="24" t="str">
        <f>IF(Table1[[#This Row],[Tipo de Servicio]]="","",Caratula!$D$17)</f>
        <v/>
      </c>
      <c r="D502" s="38" t="str">
        <f>IF(ISBLANK(Table1[[#This Row],[Tipo de Servicio]]),"",Caratula!$D$16)</f>
        <v/>
      </c>
      <c r="F502" t="str">
        <f>_xlfn.XLOOKUP(Table1[[#This Row],[SelGZ]]&amp;Table1[[#This Row],[Tipo de Servicio]],CatPEP!A:A,CatPEP!C:C,"")</f>
        <v/>
      </c>
      <c r="G502" t="str">
        <f>_xlfn.XLOOKUP(Table1[[#This Row],[PEP]],CatPEP!C:C,CatPEP!D:D,"")</f>
        <v/>
      </c>
      <c r="O502" s="53">
        <f>SUMIF('Registro Refacciones'!B:B, I502, 'Registro Refacciones'!I:I)</f>
        <v>0</v>
      </c>
      <c r="P502" s="26">
        <f>Table1[[#This Row],[Costo Servicio]]+Table1[[#This Row],[Refacciones]]</f>
        <v>0</v>
      </c>
      <c r="Q502" s="26"/>
    </row>
    <row r="503" spans="1:17">
      <c r="A503" s="37" t="str">
        <f>IF(Table1[[#This Row],[Tipo de Servicio]]="","",Caratula!$D$15)</f>
        <v/>
      </c>
      <c r="B503" s="37" t="str">
        <f>IF(Table1[[#This Row],[Tipo de Servicio]]="","",Caratula!$D$16)</f>
        <v/>
      </c>
      <c r="C503" s="24" t="str">
        <f>IF(Table1[[#This Row],[Tipo de Servicio]]="","",Caratula!$D$17)</f>
        <v/>
      </c>
      <c r="D503" s="38" t="str">
        <f>IF(ISBLANK(Table1[[#This Row],[Tipo de Servicio]]),"",Caratula!$D$16)</f>
        <v/>
      </c>
      <c r="F503" t="str">
        <f>_xlfn.XLOOKUP(Table1[[#This Row],[SelGZ]]&amp;Table1[[#This Row],[Tipo de Servicio]],CatPEP!A:A,CatPEP!C:C,"")</f>
        <v/>
      </c>
      <c r="G503" t="str">
        <f>_xlfn.XLOOKUP(Table1[[#This Row],[PEP]],CatPEP!C:C,CatPEP!D:D,"")</f>
        <v/>
      </c>
      <c r="O503" s="53">
        <f>SUMIF('Registro Refacciones'!B:B, I503, 'Registro Refacciones'!I:I)</f>
        <v>0</v>
      </c>
      <c r="P503" s="26">
        <f>Table1[[#This Row],[Costo Servicio]]+Table1[[#This Row],[Refacciones]]</f>
        <v>0</v>
      </c>
      <c r="Q503" s="26"/>
    </row>
    <row r="504" spans="1:17">
      <c r="A504" s="37" t="str">
        <f>IF(Table1[[#This Row],[Tipo de Servicio]]="","",Caratula!$D$15)</f>
        <v/>
      </c>
      <c r="B504" s="37" t="str">
        <f>IF(Table1[[#This Row],[Tipo de Servicio]]="","",Caratula!$D$16)</f>
        <v/>
      </c>
      <c r="C504" s="24" t="str">
        <f>IF(Table1[[#This Row],[Tipo de Servicio]]="","",Caratula!$D$17)</f>
        <v/>
      </c>
      <c r="D504" s="38" t="str">
        <f>IF(ISBLANK(Table1[[#This Row],[Tipo de Servicio]]),"",Caratula!$D$16)</f>
        <v/>
      </c>
      <c r="F504" t="str">
        <f>_xlfn.XLOOKUP(Table1[[#This Row],[SelGZ]]&amp;Table1[[#This Row],[Tipo de Servicio]],CatPEP!A:A,CatPEP!C:C,"")</f>
        <v/>
      </c>
      <c r="G504" t="str">
        <f>_xlfn.XLOOKUP(Table1[[#This Row],[PEP]],CatPEP!C:C,CatPEP!D:D,"")</f>
        <v/>
      </c>
      <c r="O504" s="53">
        <f>SUMIF('Registro Refacciones'!B:B, I504, 'Registro Refacciones'!I:I)</f>
        <v>0</v>
      </c>
      <c r="P504" s="26">
        <f>Table1[[#This Row],[Costo Servicio]]+Table1[[#This Row],[Refacciones]]</f>
        <v>0</v>
      </c>
      <c r="Q504" s="26"/>
    </row>
    <row r="505" spans="1:17">
      <c r="A505" s="37" t="str">
        <f>IF(Table1[[#This Row],[Tipo de Servicio]]="","",Caratula!$D$15)</f>
        <v/>
      </c>
      <c r="B505" s="37" t="str">
        <f>IF(Table1[[#This Row],[Tipo de Servicio]]="","",Caratula!$D$16)</f>
        <v/>
      </c>
      <c r="C505" s="24" t="str">
        <f>IF(Table1[[#This Row],[Tipo de Servicio]]="","",Caratula!$D$17)</f>
        <v/>
      </c>
      <c r="D505" s="38" t="str">
        <f>IF(ISBLANK(Table1[[#This Row],[Tipo de Servicio]]),"",Caratula!$D$16)</f>
        <v/>
      </c>
      <c r="F505" t="str">
        <f>_xlfn.XLOOKUP(Table1[[#This Row],[SelGZ]]&amp;Table1[[#This Row],[Tipo de Servicio]],CatPEP!A:A,CatPEP!C:C,"")</f>
        <v/>
      </c>
      <c r="G505" t="str">
        <f>_xlfn.XLOOKUP(Table1[[#This Row],[PEP]],CatPEP!C:C,CatPEP!D:D,"")</f>
        <v/>
      </c>
      <c r="O505" s="53">
        <f>SUMIF('Registro Refacciones'!B:B, I505, 'Registro Refacciones'!I:I)</f>
        <v>0</v>
      </c>
      <c r="P505" s="26">
        <f>Table1[[#This Row],[Costo Servicio]]+Table1[[#This Row],[Refacciones]]</f>
        <v>0</v>
      </c>
      <c r="Q505" s="26"/>
    </row>
    <row r="506" spans="1:17">
      <c r="A506" s="37" t="str">
        <f>IF(Table1[[#This Row],[Tipo de Servicio]]="","",Caratula!$D$15)</f>
        <v/>
      </c>
      <c r="B506" s="37" t="str">
        <f>IF(Table1[[#This Row],[Tipo de Servicio]]="","",Caratula!$D$16)</f>
        <v/>
      </c>
      <c r="C506" s="24" t="str">
        <f>IF(Table1[[#This Row],[Tipo de Servicio]]="","",Caratula!$D$17)</f>
        <v/>
      </c>
      <c r="D506" s="38" t="str">
        <f>IF(ISBLANK(Table1[[#This Row],[Tipo de Servicio]]),"",Caratula!$D$16)</f>
        <v/>
      </c>
      <c r="F506" t="str">
        <f>_xlfn.XLOOKUP(Table1[[#This Row],[SelGZ]]&amp;Table1[[#This Row],[Tipo de Servicio]],CatPEP!A:A,CatPEP!C:C,"")</f>
        <v/>
      </c>
      <c r="G506" t="str">
        <f>_xlfn.XLOOKUP(Table1[[#This Row],[PEP]],CatPEP!C:C,CatPEP!D:D,"")</f>
        <v/>
      </c>
      <c r="O506" s="53">
        <f>SUMIF('Registro Refacciones'!B:B, I506, 'Registro Refacciones'!I:I)</f>
        <v>0</v>
      </c>
      <c r="P506" s="26">
        <f>Table1[[#This Row],[Costo Servicio]]+Table1[[#This Row],[Refacciones]]</f>
        <v>0</v>
      </c>
      <c r="Q506" s="26"/>
    </row>
    <row r="507" spans="1:17">
      <c r="A507" s="37" t="str">
        <f>IF(Table1[[#This Row],[Tipo de Servicio]]="","",Caratula!$D$15)</f>
        <v/>
      </c>
      <c r="B507" s="37" t="str">
        <f>IF(Table1[[#This Row],[Tipo de Servicio]]="","",Caratula!$D$16)</f>
        <v/>
      </c>
      <c r="C507" s="24" t="str">
        <f>IF(Table1[[#This Row],[Tipo de Servicio]]="","",Caratula!$D$17)</f>
        <v/>
      </c>
      <c r="D507" s="38" t="str">
        <f>IF(ISBLANK(Table1[[#This Row],[Tipo de Servicio]]),"",Caratula!$D$16)</f>
        <v/>
      </c>
      <c r="F507" t="str">
        <f>_xlfn.XLOOKUP(Table1[[#This Row],[SelGZ]]&amp;Table1[[#This Row],[Tipo de Servicio]],CatPEP!A:A,CatPEP!C:C,"")</f>
        <v/>
      </c>
      <c r="G507" t="str">
        <f>_xlfn.XLOOKUP(Table1[[#This Row],[PEP]],CatPEP!C:C,CatPEP!D:D,"")</f>
        <v/>
      </c>
      <c r="O507" s="53">
        <f>SUMIF('Registro Refacciones'!B:B, I507, 'Registro Refacciones'!I:I)</f>
        <v>0</v>
      </c>
      <c r="P507" s="26">
        <f>Table1[[#This Row],[Costo Servicio]]+Table1[[#This Row],[Refacciones]]</f>
        <v>0</v>
      </c>
      <c r="Q507" s="26"/>
    </row>
    <row r="508" spans="1:17">
      <c r="A508" s="37" t="str">
        <f>IF(Table1[[#This Row],[Tipo de Servicio]]="","",Caratula!$D$15)</f>
        <v/>
      </c>
      <c r="B508" s="37" t="str">
        <f>IF(Table1[[#This Row],[Tipo de Servicio]]="","",Caratula!$D$16)</f>
        <v/>
      </c>
      <c r="C508" s="24" t="str">
        <f>IF(Table1[[#This Row],[Tipo de Servicio]]="","",Caratula!$D$17)</f>
        <v/>
      </c>
      <c r="D508" s="38" t="str">
        <f>IF(ISBLANK(Table1[[#This Row],[Tipo de Servicio]]),"",Caratula!$D$16)</f>
        <v/>
      </c>
      <c r="F508" t="str">
        <f>_xlfn.XLOOKUP(Table1[[#This Row],[SelGZ]]&amp;Table1[[#This Row],[Tipo de Servicio]],CatPEP!A:A,CatPEP!C:C,"")</f>
        <v/>
      </c>
      <c r="G508" t="str">
        <f>_xlfn.XLOOKUP(Table1[[#This Row],[PEP]],CatPEP!C:C,CatPEP!D:D,"")</f>
        <v/>
      </c>
      <c r="O508" s="53">
        <f>SUMIF('Registro Refacciones'!B:B, I508, 'Registro Refacciones'!I:I)</f>
        <v>0</v>
      </c>
      <c r="P508" s="26">
        <f>Table1[[#This Row],[Costo Servicio]]+Table1[[#This Row],[Refacciones]]</f>
        <v>0</v>
      </c>
      <c r="Q508" s="26"/>
    </row>
    <row r="509" spans="1:17">
      <c r="A509" s="37" t="str">
        <f>IF(Table1[[#This Row],[Tipo de Servicio]]="","",Caratula!$D$15)</f>
        <v/>
      </c>
      <c r="B509" s="37" t="str">
        <f>IF(Table1[[#This Row],[Tipo de Servicio]]="","",Caratula!$D$16)</f>
        <v/>
      </c>
      <c r="C509" s="24" t="str">
        <f>IF(Table1[[#This Row],[Tipo de Servicio]]="","",Caratula!$D$17)</f>
        <v/>
      </c>
      <c r="D509" s="38" t="str">
        <f>IF(ISBLANK(Table1[[#This Row],[Tipo de Servicio]]),"",Caratula!$D$16)</f>
        <v/>
      </c>
      <c r="F509" t="str">
        <f>_xlfn.XLOOKUP(Table1[[#This Row],[SelGZ]]&amp;Table1[[#This Row],[Tipo de Servicio]],CatPEP!A:A,CatPEP!C:C,"")</f>
        <v/>
      </c>
      <c r="G509" t="str">
        <f>_xlfn.XLOOKUP(Table1[[#This Row],[PEP]],CatPEP!C:C,CatPEP!D:D,"")</f>
        <v/>
      </c>
      <c r="O509" s="53">
        <f>SUMIF('Registro Refacciones'!B:B, I509, 'Registro Refacciones'!I:I)</f>
        <v>0</v>
      </c>
      <c r="P509" s="26">
        <f>Table1[[#This Row],[Costo Servicio]]+Table1[[#This Row],[Refacciones]]</f>
        <v>0</v>
      </c>
      <c r="Q509" s="26"/>
    </row>
    <row r="510" spans="1:17">
      <c r="A510" s="37" t="str">
        <f>IF(Table1[[#This Row],[Tipo de Servicio]]="","",Caratula!$D$15)</f>
        <v/>
      </c>
      <c r="B510" s="37" t="str">
        <f>IF(Table1[[#This Row],[Tipo de Servicio]]="","",Caratula!$D$16)</f>
        <v/>
      </c>
      <c r="C510" s="24" t="str">
        <f>IF(Table1[[#This Row],[Tipo de Servicio]]="","",Caratula!$D$17)</f>
        <v/>
      </c>
      <c r="D510" s="38" t="str">
        <f>IF(ISBLANK(Table1[[#This Row],[Tipo de Servicio]]),"",Caratula!$D$16)</f>
        <v/>
      </c>
      <c r="F510" t="str">
        <f>_xlfn.XLOOKUP(Table1[[#This Row],[SelGZ]]&amp;Table1[[#This Row],[Tipo de Servicio]],CatPEP!A:A,CatPEP!C:C,"")</f>
        <v/>
      </c>
      <c r="G510" t="str">
        <f>_xlfn.XLOOKUP(Table1[[#This Row],[PEP]],CatPEP!C:C,CatPEP!D:D,"")</f>
        <v/>
      </c>
      <c r="O510" s="53">
        <f>SUMIF('Registro Refacciones'!B:B, I510, 'Registro Refacciones'!I:I)</f>
        <v>0</v>
      </c>
      <c r="P510" s="26">
        <f>Table1[[#This Row],[Costo Servicio]]+Table1[[#This Row],[Refacciones]]</f>
        <v>0</v>
      </c>
      <c r="Q510" s="26"/>
    </row>
    <row r="511" spans="1:17">
      <c r="A511" s="37" t="str">
        <f>IF(Table1[[#This Row],[Tipo de Servicio]]="","",Caratula!$D$15)</f>
        <v/>
      </c>
      <c r="B511" s="37" t="str">
        <f>IF(Table1[[#This Row],[Tipo de Servicio]]="","",Caratula!$D$16)</f>
        <v/>
      </c>
      <c r="C511" s="24" t="str">
        <f>IF(Table1[[#This Row],[Tipo de Servicio]]="","",Caratula!$D$17)</f>
        <v/>
      </c>
      <c r="D511" s="38" t="str">
        <f>IF(ISBLANK(Table1[[#This Row],[Tipo de Servicio]]),"",Caratula!$D$16)</f>
        <v/>
      </c>
      <c r="F511" t="str">
        <f>_xlfn.XLOOKUP(Table1[[#This Row],[SelGZ]]&amp;Table1[[#This Row],[Tipo de Servicio]],CatPEP!A:A,CatPEP!C:C,"")</f>
        <v/>
      </c>
      <c r="G511" t="str">
        <f>_xlfn.XLOOKUP(Table1[[#This Row],[PEP]],CatPEP!C:C,CatPEP!D:D,"")</f>
        <v/>
      </c>
      <c r="O511" s="53">
        <f>SUMIF('Registro Refacciones'!B:B, I511, 'Registro Refacciones'!I:I)</f>
        <v>0</v>
      </c>
      <c r="P511" s="26">
        <f>Table1[[#This Row],[Costo Servicio]]+Table1[[#This Row],[Refacciones]]</f>
        <v>0</v>
      </c>
      <c r="Q511" s="26"/>
    </row>
    <row r="512" spans="1:17">
      <c r="A512" s="37" t="str">
        <f>IF(Table1[[#This Row],[Tipo de Servicio]]="","",Caratula!$D$15)</f>
        <v/>
      </c>
      <c r="B512" s="37" t="str">
        <f>IF(Table1[[#This Row],[Tipo de Servicio]]="","",Caratula!$D$16)</f>
        <v/>
      </c>
      <c r="C512" s="24" t="str">
        <f>IF(Table1[[#This Row],[Tipo de Servicio]]="","",Caratula!$D$17)</f>
        <v/>
      </c>
      <c r="D512" s="38" t="str">
        <f>IF(ISBLANK(Table1[[#This Row],[Tipo de Servicio]]),"",Caratula!$D$16)</f>
        <v/>
      </c>
      <c r="F512" t="str">
        <f>_xlfn.XLOOKUP(Table1[[#This Row],[SelGZ]]&amp;Table1[[#This Row],[Tipo de Servicio]],CatPEP!A:A,CatPEP!C:C,"")</f>
        <v/>
      </c>
      <c r="G512" t="str">
        <f>_xlfn.XLOOKUP(Table1[[#This Row],[PEP]],CatPEP!C:C,CatPEP!D:D,"")</f>
        <v/>
      </c>
      <c r="O512" s="53">
        <f>SUMIF('Registro Refacciones'!B:B, I512, 'Registro Refacciones'!I:I)</f>
        <v>0</v>
      </c>
      <c r="P512" s="26">
        <f>Table1[[#This Row],[Costo Servicio]]+Table1[[#This Row],[Refacciones]]</f>
        <v>0</v>
      </c>
      <c r="Q512" s="26"/>
    </row>
    <row r="513" spans="1:17">
      <c r="A513" s="37" t="str">
        <f>IF(Table1[[#This Row],[Tipo de Servicio]]="","",Caratula!$D$15)</f>
        <v/>
      </c>
      <c r="B513" s="37" t="str">
        <f>IF(Table1[[#This Row],[Tipo de Servicio]]="","",Caratula!$D$16)</f>
        <v/>
      </c>
      <c r="C513" s="24" t="str">
        <f>IF(Table1[[#This Row],[Tipo de Servicio]]="","",Caratula!$D$17)</f>
        <v/>
      </c>
      <c r="D513" s="38" t="str">
        <f>IF(ISBLANK(Table1[[#This Row],[Tipo de Servicio]]),"",Caratula!$D$16)</f>
        <v/>
      </c>
      <c r="F513" t="str">
        <f>_xlfn.XLOOKUP(Table1[[#This Row],[SelGZ]]&amp;Table1[[#This Row],[Tipo de Servicio]],CatPEP!A:A,CatPEP!C:C,"")</f>
        <v/>
      </c>
      <c r="G513" t="str">
        <f>_xlfn.XLOOKUP(Table1[[#This Row],[PEP]],CatPEP!C:C,CatPEP!D:D,"")</f>
        <v/>
      </c>
      <c r="O513" s="53">
        <f>SUMIF('Registro Refacciones'!B:B, I513, 'Registro Refacciones'!I:I)</f>
        <v>0</v>
      </c>
      <c r="P513" s="26">
        <f>Table1[[#This Row],[Costo Servicio]]+Table1[[#This Row],[Refacciones]]</f>
        <v>0</v>
      </c>
      <c r="Q513" s="26"/>
    </row>
    <row r="514" spans="1:17">
      <c r="A514" s="37" t="str">
        <f>IF(Table1[[#This Row],[Tipo de Servicio]]="","",Caratula!$D$15)</f>
        <v/>
      </c>
      <c r="B514" s="37" t="str">
        <f>IF(Table1[[#This Row],[Tipo de Servicio]]="","",Caratula!$D$16)</f>
        <v/>
      </c>
      <c r="C514" s="24" t="str">
        <f>IF(Table1[[#This Row],[Tipo de Servicio]]="","",Caratula!$D$17)</f>
        <v/>
      </c>
      <c r="D514" s="38" t="str">
        <f>IF(ISBLANK(Table1[[#This Row],[Tipo de Servicio]]),"",Caratula!$D$16)</f>
        <v/>
      </c>
      <c r="F514" t="str">
        <f>_xlfn.XLOOKUP(Table1[[#This Row],[SelGZ]]&amp;Table1[[#This Row],[Tipo de Servicio]],CatPEP!A:A,CatPEP!C:C,"")</f>
        <v/>
      </c>
      <c r="G514" t="str">
        <f>_xlfn.XLOOKUP(Table1[[#This Row],[PEP]],CatPEP!C:C,CatPEP!D:D,"")</f>
        <v/>
      </c>
      <c r="O514" s="53">
        <f>SUMIF('Registro Refacciones'!B:B, I514, 'Registro Refacciones'!I:I)</f>
        <v>0</v>
      </c>
      <c r="P514" s="26">
        <f>Table1[[#This Row],[Costo Servicio]]+Table1[[#This Row],[Refacciones]]</f>
        <v>0</v>
      </c>
      <c r="Q514" s="26"/>
    </row>
    <row r="515" spans="1:17">
      <c r="A515" s="37" t="str">
        <f>IF(Table1[[#This Row],[Tipo de Servicio]]="","",Caratula!$D$15)</f>
        <v/>
      </c>
      <c r="B515" s="37" t="str">
        <f>IF(Table1[[#This Row],[Tipo de Servicio]]="","",Caratula!$D$16)</f>
        <v/>
      </c>
      <c r="C515" s="24" t="str">
        <f>IF(Table1[[#This Row],[Tipo de Servicio]]="","",Caratula!$D$17)</f>
        <v/>
      </c>
      <c r="D515" s="38" t="str">
        <f>IF(ISBLANK(Table1[[#This Row],[Tipo de Servicio]]),"",Caratula!$D$16)</f>
        <v/>
      </c>
      <c r="F515" t="str">
        <f>_xlfn.XLOOKUP(Table1[[#This Row],[SelGZ]]&amp;Table1[[#This Row],[Tipo de Servicio]],CatPEP!A:A,CatPEP!C:C,"")</f>
        <v/>
      </c>
      <c r="G515" t="str">
        <f>_xlfn.XLOOKUP(Table1[[#This Row],[PEP]],CatPEP!C:C,CatPEP!D:D,"")</f>
        <v/>
      </c>
      <c r="O515" s="53">
        <f>SUMIF('Registro Refacciones'!B:B, I515, 'Registro Refacciones'!I:I)</f>
        <v>0</v>
      </c>
      <c r="P515" s="26">
        <f>Table1[[#This Row],[Costo Servicio]]+Table1[[#This Row],[Refacciones]]</f>
        <v>0</v>
      </c>
      <c r="Q515" s="26"/>
    </row>
    <row r="516" spans="1:17">
      <c r="A516" s="37" t="str">
        <f>IF(Table1[[#This Row],[Tipo de Servicio]]="","",Caratula!$D$15)</f>
        <v/>
      </c>
      <c r="B516" s="37" t="str">
        <f>IF(Table1[[#This Row],[Tipo de Servicio]]="","",Caratula!$D$16)</f>
        <v/>
      </c>
      <c r="C516" s="24" t="str">
        <f>IF(Table1[[#This Row],[Tipo de Servicio]]="","",Caratula!$D$17)</f>
        <v/>
      </c>
      <c r="D516" s="38" t="str">
        <f>IF(ISBLANK(Table1[[#This Row],[Tipo de Servicio]]),"",Caratula!$D$16)</f>
        <v/>
      </c>
      <c r="F516" t="str">
        <f>_xlfn.XLOOKUP(Table1[[#This Row],[SelGZ]]&amp;Table1[[#This Row],[Tipo de Servicio]],CatPEP!A:A,CatPEP!C:C,"")</f>
        <v/>
      </c>
      <c r="G516" t="str">
        <f>_xlfn.XLOOKUP(Table1[[#This Row],[PEP]],CatPEP!C:C,CatPEP!D:D,"")</f>
        <v/>
      </c>
      <c r="O516" s="53">
        <f>SUMIF('Registro Refacciones'!B:B, I516, 'Registro Refacciones'!I:I)</f>
        <v>0</v>
      </c>
      <c r="P516" s="26">
        <f>Table1[[#This Row],[Costo Servicio]]+Table1[[#This Row],[Refacciones]]</f>
        <v>0</v>
      </c>
      <c r="Q516" s="26"/>
    </row>
    <row r="517" spans="1:17">
      <c r="A517" s="37" t="str">
        <f>IF(Table1[[#This Row],[Tipo de Servicio]]="","",Caratula!$D$15)</f>
        <v/>
      </c>
      <c r="B517" s="37" t="str">
        <f>IF(Table1[[#This Row],[Tipo de Servicio]]="","",Caratula!$D$16)</f>
        <v/>
      </c>
      <c r="C517" s="24" t="str">
        <f>IF(Table1[[#This Row],[Tipo de Servicio]]="","",Caratula!$D$17)</f>
        <v/>
      </c>
      <c r="D517" s="38" t="str">
        <f>IF(ISBLANK(Table1[[#This Row],[Tipo de Servicio]]),"",Caratula!$D$16)</f>
        <v/>
      </c>
      <c r="F517" t="str">
        <f>_xlfn.XLOOKUP(Table1[[#This Row],[SelGZ]]&amp;Table1[[#This Row],[Tipo de Servicio]],CatPEP!A:A,CatPEP!C:C,"")</f>
        <v/>
      </c>
      <c r="G517" t="str">
        <f>_xlfn.XLOOKUP(Table1[[#This Row],[PEP]],CatPEP!C:C,CatPEP!D:D,"")</f>
        <v/>
      </c>
      <c r="O517" s="53">
        <f>SUMIF('Registro Refacciones'!B:B, I517, 'Registro Refacciones'!I:I)</f>
        <v>0</v>
      </c>
      <c r="P517" s="26">
        <f>Table1[[#This Row],[Costo Servicio]]+Table1[[#This Row],[Refacciones]]</f>
        <v>0</v>
      </c>
      <c r="Q517" s="26"/>
    </row>
    <row r="518" spans="1:17">
      <c r="A518" s="37" t="str">
        <f>IF(Table1[[#This Row],[Tipo de Servicio]]="","",Caratula!$D$15)</f>
        <v/>
      </c>
      <c r="B518" s="37" t="str">
        <f>IF(Table1[[#This Row],[Tipo de Servicio]]="","",Caratula!$D$16)</f>
        <v/>
      </c>
      <c r="C518" s="24" t="str">
        <f>IF(Table1[[#This Row],[Tipo de Servicio]]="","",Caratula!$D$17)</f>
        <v/>
      </c>
      <c r="D518" s="38" t="str">
        <f>IF(ISBLANK(Table1[[#This Row],[Tipo de Servicio]]),"",Caratula!$D$16)</f>
        <v/>
      </c>
      <c r="F518" t="str">
        <f>_xlfn.XLOOKUP(Table1[[#This Row],[SelGZ]]&amp;Table1[[#This Row],[Tipo de Servicio]],CatPEP!A:A,CatPEP!C:C,"")</f>
        <v/>
      </c>
      <c r="G518" t="str">
        <f>_xlfn.XLOOKUP(Table1[[#This Row],[PEP]],CatPEP!C:C,CatPEP!D:D,"")</f>
        <v/>
      </c>
      <c r="O518" s="53">
        <f>SUMIF('Registro Refacciones'!B:B, I518, 'Registro Refacciones'!I:I)</f>
        <v>0</v>
      </c>
      <c r="P518" s="26">
        <f>Table1[[#This Row],[Costo Servicio]]+Table1[[#This Row],[Refacciones]]</f>
        <v>0</v>
      </c>
      <c r="Q518" s="26"/>
    </row>
    <row r="519" spans="1:17">
      <c r="A519" s="37" t="str">
        <f>IF(Table1[[#This Row],[Tipo de Servicio]]="","",Caratula!$D$15)</f>
        <v/>
      </c>
      <c r="B519" s="37" t="str">
        <f>IF(Table1[[#This Row],[Tipo de Servicio]]="","",Caratula!$D$16)</f>
        <v/>
      </c>
      <c r="C519" s="24" t="str">
        <f>IF(Table1[[#This Row],[Tipo de Servicio]]="","",Caratula!$D$17)</f>
        <v/>
      </c>
      <c r="D519" s="38" t="str">
        <f>IF(ISBLANK(Table1[[#This Row],[Tipo de Servicio]]),"",Caratula!$D$16)</f>
        <v/>
      </c>
      <c r="F519" t="str">
        <f>_xlfn.XLOOKUP(Table1[[#This Row],[SelGZ]]&amp;Table1[[#This Row],[Tipo de Servicio]],CatPEP!A:A,CatPEP!C:C,"")</f>
        <v/>
      </c>
      <c r="G519" t="str">
        <f>_xlfn.XLOOKUP(Table1[[#This Row],[PEP]],CatPEP!C:C,CatPEP!D:D,"")</f>
        <v/>
      </c>
      <c r="O519" s="53">
        <f>SUMIF('Registro Refacciones'!B:B, I519, 'Registro Refacciones'!I:I)</f>
        <v>0</v>
      </c>
      <c r="P519" s="26">
        <f>Table1[[#This Row],[Costo Servicio]]+Table1[[#This Row],[Refacciones]]</f>
        <v>0</v>
      </c>
      <c r="Q519" s="26"/>
    </row>
    <row r="520" spans="1:17">
      <c r="A520" s="37" t="str">
        <f>IF(Table1[[#This Row],[Tipo de Servicio]]="","",Caratula!$D$15)</f>
        <v/>
      </c>
      <c r="B520" s="37" t="str">
        <f>IF(Table1[[#This Row],[Tipo de Servicio]]="","",Caratula!$D$16)</f>
        <v/>
      </c>
      <c r="C520" s="24" t="str">
        <f>IF(Table1[[#This Row],[Tipo de Servicio]]="","",Caratula!$D$17)</f>
        <v/>
      </c>
      <c r="D520" s="38" t="str">
        <f>IF(ISBLANK(Table1[[#This Row],[Tipo de Servicio]]),"",Caratula!$D$16)</f>
        <v/>
      </c>
      <c r="F520" t="str">
        <f>_xlfn.XLOOKUP(Table1[[#This Row],[SelGZ]]&amp;Table1[[#This Row],[Tipo de Servicio]],CatPEP!A:A,CatPEP!C:C,"")</f>
        <v/>
      </c>
      <c r="G520" t="str">
        <f>_xlfn.XLOOKUP(Table1[[#This Row],[PEP]],CatPEP!C:C,CatPEP!D:D,"")</f>
        <v/>
      </c>
      <c r="O520" s="53">
        <f>SUMIF('Registro Refacciones'!B:B, I520, 'Registro Refacciones'!I:I)</f>
        <v>0</v>
      </c>
      <c r="P520" s="26">
        <f>Table1[[#This Row],[Costo Servicio]]+Table1[[#This Row],[Refacciones]]</f>
        <v>0</v>
      </c>
      <c r="Q520" s="26"/>
    </row>
    <row r="521" spans="1:17">
      <c r="A521" s="37" t="str">
        <f>IF(Table1[[#This Row],[Tipo de Servicio]]="","",Caratula!$D$15)</f>
        <v/>
      </c>
      <c r="B521" s="37" t="str">
        <f>IF(Table1[[#This Row],[Tipo de Servicio]]="","",Caratula!$D$16)</f>
        <v/>
      </c>
      <c r="C521" s="24" t="str">
        <f>IF(Table1[[#This Row],[Tipo de Servicio]]="","",Caratula!$D$17)</f>
        <v/>
      </c>
      <c r="D521" s="38" t="str">
        <f>IF(ISBLANK(Table1[[#This Row],[Tipo de Servicio]]),"",Caratula!$D$16)</f>
        <v/>
      </c>
      <c r="F521" t="str">
        <f>_xlfn.XLOOKUP(Table1[[#This Row],[SelGZ]]&amp;Table1[[#This Row],[Tipo de Servicio]],CatPEP!A:A,CatPEP!C:C,"")</f>
        <v/>
      </c>
      <c r="G521" t="str">
        <f>_xlfn.XLOOKUP(Table1[[#This Row],[PEP]],CatPEP!C:C,CatPEP!D:D,"")</f>
        <v/>
      </c>
      <c r="O521" s="53">
        <f>SUMIF('Registro Refacciones'!B:B, I521, 'Registro Refacciones'!I:I)</f>
        <v>0</v>
      </c>
      <c r="P521" s="26">
        <f>Table1[[#This Row],[Costo Servicio]]+Table1[[#This Row],[Refacciones]]</f>
        <v>0</v>
      </c>
      <c r="Q521" s="26"/>
    </row>
    <row r="522" spans="1:17">
      <c r="A522" s="37" t="str">
        <f>IF(Table1[[#This Row],[Tipo de Servicio]]="","",Caratula!$D$15)</f>
        <v/>
      </c>
      <c r="B522" s="37" t="str">
        <f>IF(Table1[[#This Row],[Tipo de Servicio]]="","",Caratula!$D$16)</f>
        <v/>
      </c>
      <c r="C522" s="24" t="str">
        <f>IF(Table1[[#This Row],[Tipo de Servicio]]="","",Caratula!$D$17)</f>
        <v/>
      </c>
      <c r="D522" s="38" t="str">
        <f>IF(ISBLANK(Table1[[#This Row],[Tipo de Servicio]]),"",Caratula!$D$16)</f>
        <v/>
      </c>
      <c r="F522" t="str">
        <f>_xlfn.XLOOKUP(Table1[[#This Row],[SelGZ]]&amp;Table1[[#This Row],[Tipo de Servicio]],CatPEP!A:A,CatPEP!C:C,"")</f>
        <v/>
      </c>
      <c r="G522" t="str">
        <f>_xlfn.XLOOKUP(Table1[[#This Row],[PEP]],CatPEP!C:C,CatPEP!D:D,"")</f>
        <v/>
      </c>
      <c r="O522" s="53">
        <f>SUMIF('Registro Refacciones'!B:B, I522, 'Registro Refacciones'!I:I)</f>
        <v>0</v>
      </c>
      <c r="P522" s="26">
        <f>Table1[[#This Row],[Costo Servicio]]+Table1[[#This Row],[Refacciones]]</f>
        <v>0</v>
      </c>
      <c r="Q522" s="26"/>
    </row>
    <row r="523" spans="1:17">
      <c r="A523" s="37" t="str">
        <f>IF(Table1[[#This Row],[Tipo de Servicio]]="","",Caratula!$D$15)</f>
        <v/>
      </c>
      <c r="B523" s="37" t="str">
        <f>IF(Table1[[#This Row],[Tipo de Servicio]]="","",Caratula!$D$16)</f>
        <v/>
      </c>
      <c r="C523" s="24" t="str">
        <f>IF(Table1[[#This Row],[Tipo de Servicio]]="","",Caratula!$D$17)</f>
        <v/>
      </c>
      <c r="D523" s="38" t="str">
        <f>IF(ISBLANK(Table1[[#This Row],[Tipo de Servicio]]),"",Caratula!$D$16)</f>
        <v/>
      </c>
      <c r="F523" t="str">
        <f>_xlfn.XLOOKUP(Table1[[#This Row],[SelGZ]]&amp;Table1[[#This Row],[Tipo de Servicio]],CatPEP!A:A,CatPEP!C:C,"")</f>
        <v/>
      </c>
      <c r="G523" t="str">
        <f>_xlfn.XLOOKUP(Table1[[#This Row],[PEP]],CatPEP!C:C,CatPEP!D:D,"")</f>
        <v/>
      </c>
      <c r="O523" s="53">
        <f>SUMIF('Registro Refacciones'!B:B, I523, 'Registro Refacciones'!I:I)</f>
        <v>0</v>
      </c>
      <c r="P523" s="26">
        <f>Table1[[#This Row],[Costo Servicio]]+Table1[[#This Row],[Refacciones]]</f>
        <v>0</v>
      </c>
      <c r="Q523" s="26"/>
    </row>
    <row r="524" spans="1:17">
      <c r="A524" s="37" t="str">
        <f>IF(Table1[[#This Row],[Tipo de Servicio]]="","",Caratula!$D$15)</f>
        <v/>
      </c>
      <c r="B524" s="37" t="str">
        <f>IF(Table1[[#This Row],[Tipo de Servicio]]="","",Caratula!$D$16)</f>
        <v/>
      </c>
      <c r="C524" s="24" t="str">
        <f>IF(Table1[[#This Row],[Tipo de Servicio]]="","",Caratula!$D$17)</f>
        <v/>
      </c>
      <c r="D524" s="38" t="str">
        <f>IF(ISBLANK(Table1[[#This Row],[Tipo de Servicio]]),"",Caratula!$D$16)</f>
        <v/>
      </c>
      <c r="F524" t="str">
        <f>_xlfn.XLOOKUP(Table1[[#This Row],[SelGZ]]&amp;Table1[[#This Row],[Tipo de Servicio]],CatPEP!A:A,CatPEP!C:C,"")</f>
        <v/>
      </c>
      <c r="G524" t="str">
        <f>_xlfn.XLOOKUP(Table1[[#This Row],[PEP]],CatPEP!C:C,CatPEP!D:D,"")</f>
        <v/>
      </c>
      <c r="O524" s="53">
        <f>SUMIF('Registro Refacciones'!B:B, I524, 'Registro Refacciones'!I:I)</f>
        <v>0</v>
      </c>
      <c r="P524" s="26">
        <f>Table1[[#This Row],[Costo Servicio]]+Table1[[#This Row],[Refacciones]]</f>
        <v>0</v>
      </c>
      <c r="Q524" s="26"/>
    </row>
    <row r="525" spans="1:17">
      <c r="A525" s="37" t="str">
        <f>IF(Table1[[#This Row],[Tipo de Servicio]]="","",Caratula!$D$15)</f>
        <v/>
      </c>
      <c r="B525" s="37" t="str">
        <f>IF(Table1[[#This Row],[Tipo de Servicio]]="","",Caratula!$D$16)</f>
        <v/>
      </c>
      <c r="C525" s="24" t="str">
        <f>IF(Table1[[#This Row],[Tipo de Servicio]]="","",Caratula!$D$17)</f>
        <v/>
      </c>
      <c r="D525" s="38" t="str">
        <f>IF(ISBLANK(Table1[[#This Row],[Tipo de Servicio]]),"",Caratula!$D$16)</f>
        <v/>
      </c>
      <c r="F525" t="str">
        <f>_xlfn.XLOOKUP(Table1[[#This Row],[SelGZ]]&amp;Table1[[#This Row],[Tipo de Servicio]],CatPEP!A:A,CatPEP!C:C,"")</f>
        <v/>
      </c>
      <c r="G525" t="str">
        <f>_xlfn.XLOOKUP(Table1[[#This Row],[PEP]],CatPEP!C:C,CatPEP!D:D,"")</f>
        <v/>
      </c>
      <c r="O525" s="53">
        <f>SUMIF('Registro Refacciones'!B:B, I525, 'Registro Refacciones'!I:I)</f>
        <v>0</v>
      </c>
      <c r="P525" s="26">
        <f>Table1[[#This Row],[Costo Servicio]]+Table1[[#This Row],[Refacciones]]</f>
        <v>0</v>
      </c>
      <c r="Q525" s="26"/>
    </row>
    <row r="526" spans="1:17">
      <c r="A526" s="37" t="str">
        <f>IF(Table1[[#This Row],[Tipo de Servicio]]="","",Caratula!$D$15)</f>
        <v/>
      </c>
      <c r="B526" s="37" t="str">
        <f>IF(Table1[[#This Row],[Tipo de Servicio]]="","",Caratula!$D$16)</f>
        <v/>
      </c>
      <c r="C526" s="24" t="str">
        <f>IF(Table1[[#This Row],[Tipo de Servicio]]="","",Caratula!$D$17)</f>
        <v/>
      </c>
      <c r="D526" s="38" t="str">
        <f>IF(ISBLANK(Table1[[#This Row],[Tipo de Servicio]]),"",Caratula!$D$16)</f>
        <v/>
      </c>
      <c r="F526" t="str">
        <f>_xlfn.XLOOKUP(Table1[[#This Row],[SelGZ]]&amp;Table1[[#This Row],[Tipo de Servicio]],CatPEP!A:A,CatPEP!C:C,"")</f>
        <v/>
      </c>
      <c r="G526" t="str">
        <f>_xlfn.XLOOKUP(Table1[[#This Row],[PEP]],CatPEP!C:C,CatPEP!D:D,"")</f>
        <v/>
      </c>
      <c r="O526" s="53">
        <f>SUMIF('Registro Refacciones'!B:B, I526, 'Registro Refacciones'!I:I)</f>
        <v>0</v>
      </c>
      <c r="P526" s="26">
        <f>Table1[[#This Row],[Costo Servicio]]+Table1[[#This Row],[Refacciones]]</f>
        <v>0</v>
      </c>
      <c r="Q526" s="26"/>
    </row>
    <row r="527" spans="1:17">
      <c r="A527" s="37" t="str">
        <f>IF(Table1[[#This Row],[Tipo de Servicio]]="","",Caratula!$D$15)</f>
        <v/>
      </c>
      <c r="B527" s="37" t="str">
        <f>IF(Table1[[#This Row],[Tipo de Servicio]]="","",Caratula!$D$16)</f>
        <v/>
      </c>
      <c r="C527" s="24" t="str">
        <f>IF(Table1[[#This Row],[Tipo de Servicio]]="","",Caratula!$D$17)</f>
        <v/>
      </c>
      <c r="D527" s="38" t="str">
        <f>IF(ISBLANK(Table1[[#This Row],[Tipo de Servicio]]),"",Caratula!$D$16)</f>
        <v/>
      </c>
      <c r="F527" t="str">
        <f>_xlfn.XLOOKUP(Table1[[#This Row],[SelGZ]]&amp;Table1[[#This Row],[Tipo de Servicio]],CatPEP!A:A,CatPEP!C:C,"")</f>
        <v/>
      </c>
      <c r="G527" t="str">
        <f>_xlfn.XLOOKUP(Table1[[#This Row],[PEP]],CatPEP!C:C,CatPEP!D:D,"")</f>
        <v/>
      </c>
      <c r="O527" s="53">
        <f>SUMIF('Registro Refacciones'!B:B, I527, 'Registro Refacciones'!I:I)</f>
        <v>0</v>
      </c>
      <c r="P527" s="26">
        <f>Table1[[#This Row],[Costo Servicio]]+Table1[[#This Row],[Refacciones]]</f>
        <v>0</v>
      </c>
      <c r="Q527" s="26"/>
    </row>
    <row r="528" spans="1:17">
      <c r="A528" s="37" t="str">
        <f>IF(Table1[[#This Row],[Tipo de Servicio]]="","",Caratula!$D$15)</f>
        <v/>
      </c>
      <c r="B528" s="37" t="str">
        <f>IF(Table1[[#This Row],[Tipo de Servicio]]="","",Caratula!$D$16)</f>
        <v/>
      </c>
      <c r="C528" s="24" t="str">
        <f>IF(Table1[[#This Row],[Tipo de Servicio]]="","",Caratula!$D$17)</f>
        <v/>
      </c>
      <c r="D528" s="38" t="str">
        <f>IF(ISBLANK(Table1[[#This Row],[Tipo de Servicio]]),"",Caratula!$D$16)</f>
        <v/>
      </c>
      <c r="F528" t="str">
        <f>_xlfn.XLOOKUP(Table1[[#This Row],[SelGZ]]&amp;Table1[[#This Row],[Tipo de Servicio]],CatPEP!A:A,CatPEP!C:C,"")</f>
        <v/>
      </c>
      <c r="G528" t="str">
        <f>_xlfn.XLOOKUP(Table1[[#This Row],[PEP]],CatPEP!C:C,CatPEP!D:D,"")</f>
        <v/>
      </c>
      <c r="O528" s="53">
        <f>SUMIF('Registro Refacciones'!B:B, I528, 'Registro Refacciones'!I:I)</f>
        <v>0</v>
      </c>
      <c r="P528" s="26">
        <f>Table1[[#This Row],[Costo Servicio]]+Table1[[#This Row],[Refacciones]]</f>
        <v>0</v>
      </c>
      <c r="Q528" s="26"/>
    </row>
    <row r="529" spans="1:17">
      <c r="A529" s="37" t="str">
        <f>IF(Table1[[#This Row],[Tipo de Servicio]]="","",Caratula!$D$15)</f>
        <v/>
      </c>
      <c r="B529" s="37" t="str">
        <f>IF(Table1[[#This Row],[Tipo de Servicio]]="","",Caratula!$D$16)</f>
        <v/>
      </c>
      <c r="C529" s="24" t="str">
        <f>IF(Table1[[#This Row],[Tipo de Servicio]]="","",Caratula!$D$17)</f>
        <v/>
      </c>
      <c r="D529" s="38" t="str">
        <f>IF(ISBLANK(Table1[[#This Row],[Tipo de Servicio]]),"",Caratula!$D$16)</f>
        <v/>
      </c>
      <c r="F529" t="str">
        <f>_xlfn.XLOOKUP(Table1[[#This Row],[SelGZ]]&amp;Table1[[#This Row],[Tipo de Servicio]],CatPEP!A:A,CatPEP!C:C,"")</f>
        <v/>
      </c>
      <c r="G529" t="str">
        <f>_xlfn.XLOOKUP(Table1[[#This Row],[PEP]],CatPEP!C:C,CatPEP!D:D,"")</f>
        <v/>
      </c>
      <c r="O529" s="53">
        <f>SUMIF('Registro Refacciones'!B:B, I529, 'Registro Refacciones'!I:I)</f>
        <v>0</v>
      </c>
      <c r="P529" s="26">
        <f>Table1[[#This Row],[Costo Servicio]]+Table1[[#This Row],[Refacciones]]</f>
        <v>0</v>
      </c>
      <c r="Q529" s="26"/>
    </row>
    <row r="530" spans="1:17">
      <c r="A530" s="37" t="str">
        <f>IF(Table1[[#This Row],[Tipo de Servicio]]="","",Caratula!$D$15)</f>
        <v/>
      </c>
      <c r="B530" s="37" t="str">
        <f>IF(Table1[[#This Row],[Tipo de Servicio]]="","",Caratula!$D$16)</f>
        <v/>
      </c>
      <c r="C530" s="24" t="str">
        <f>IF(Table1[[#This Row],[Tipo de Servicio]]="","",Caratula!$D$17)</f>
        <v/>
      </c>
      <c r="D530" s="38" t="str">
        <f>IF(ISBLANK(Table1[[#This Row],[Tipo de Servicio]]),"",Caratula!$D$16)</f>
        <v/>
      </c>
      <c r="F530" t="str">
        <f>_xlfn.XLOOKUP(Table1[[#This Row],[SelGZ]]&amp;Table1[[#This Row],[Tipo de Servicio]],CatPEP!A:A,CatPEP!C:C,"")</f>
        <v/>
      </c>
      <c r="G530" t="str">
        <f>_xlfn.XLOOKUP(Table1[[#This Row],[PEP]],CatPEP!C:C,CatPEP!D:D,"")</f>
        <v/>
      </c>
      <c r="O530" s="53">
        <f>SUMIF('Registro Refacciones'!B:B, I530, 'Registro Refacciones'!I:I)</f>
        <v>0</v>
      </c>
      <c r="P530" s="26">
        <f>Table1[[#This Row],[Costo Servicio]]+Table1[[#This Row],[Refacciones]]</f>
        <v>0</v>
      </c>
      <c r="Q530" s="26"/>
    </row>
    <row r="531" spans="1:17">
      <c r="A531" s="37" t="str">
        <f>IF(Table1[[#This Row],[Tipo de Servicio]]="","",Caratula!$D$15)</f>
        <v/>
      </c>
      <c r="B531" s="37" t="str">
        <f>IF(Table1[[#This Row],[Tipo de Servicio]]="","",Caratula!$D$16)</f>
        <v/>
      </c>
      <c r="C531" s="24" t="str">
        <f>IF(Table1[[#This Row],[Tipo de Servicio]]="","",Caratula!$D$17)</f>
        <v/>
      </c>
      <c r="D531" s="38" t="str">
        <f>IF(ISBLANK(Table1[[#This Row],[Tipo de Servicio]]),"",Caratula!$D$16)</f>
        <v/>
      </c>
      <c r="F531" t="str">
        <f>_xlfn.XLOOKUP(Table1[[#This Row],[SelGZ]]&amp;Table1[[#This Row],[Tipo de Servicio]],CatPEP!A:A,CatPEP!C:C,"")</f>
        <v/>
      </c>
      <c r="G531" t="str">
        <f>_xlfn.XLOOKUP(Table1[[#This Row],[PEP]],CatPEP!C:C,CatPEP!D:D,"")</f>
        <v/>
      </c>
      <c r="O531" s="53">
        <f>SUMIF('Registro Refacciones'!B:B, I531, 'Registro Refacciones'!I:I)</f>
        <v>0</v>
      </c>
      <c r="P531" s="26">
        <f>Table1[[#This Row],[Costo Servicio]]+Table1[[#This Row],[Refacciones]]</f>
        <v>0</v>
      </c>
      <c r="Q531" s="26"/>
    </row>
    <row r="532" spans="1:17">
      <c r="A532" s="37" t="str">
        <f>IF(Table1[[#This Row],[Tipo de Servicio]]="","",Caratula!$D$15)</f>
        <v/>
      </c>
      <c r="B532" s="37" t="str">
        <f>IF(Table1[[#This Row],[Tipo de Servicio]]="","",Caratula!$D$16)</f>
        <v/>
      </c>
      <c r="C532" s="24" t="str">
        <f>IF(Table1[[#This Row],[Tipo de Servicio]]="","",Caratula!$D$17)</f>
        <v/>
      </c>
      <c r="D532" s="38" t="str">
        <f>IF(ISBLANK(Table1[[#This Row],[Tipo de Servicio]]),"",Caratula!$D$16)</f>
        <v/>
      </c>
      <c r="F532" t="str">
        <f>_xlfn.XLOOKUP(Table1[[#This Row],[SelGZ]]&amp;Table1[[#This Row],[Tipo de Servicio]],CatPEP!A:A,CatPEP!C:C,"")</f>
        <v/>
      </c>
      <c r="G532" t="str">
        <f>_xlfn.XLOOKUP(Table1[[#This Row],[PEP]],CatPEP!C:C,CatPEP!D:D,"")</f>
        <v/>
      </c>
      <c r="O532" s="53">
        <f>SUMIF('Registro Refacciones'!B:B, I532, 'Registro Refacciones'!I:I)</f>
        <v>0</v>
      </c>
      <c r="P532" s="26">
        <f>Table1[[#This Row],[Costo Servicio]]+Table1[[#This Row],[Refacciones]]</f>
        <v>0</v>
      </c>
      <c r="Q532" s="26"/>
    </row>
    <row r="533" spans="1:17">
      <c r="A533" s="37" t="str">
        <f>IF(Table1[[#This Row],[Tipo de Servicio]]="","",Caratula!$D$15)</f>
        <v/>
      </c>
      <c r="B533" s="37" t="str">
        <f>IF(Table1[[#This Row],[Tipo de Servicio]]="","",Caratula!$D$16)</f>
        <v/>
      </c>
      <c r="C533" s="24" t="str">
        <f>IF(Table1[[#This Row],[Tipo de Servicio]]="","",Caratula!$D$17)</f>
        <v/>
      </c>
      <c r="D533" s="38" t="str">
        <f>IF(ISBLANK(Table1[[#This Row],[Tipo de Servicio]]),"",Caratula!$D$16)</f>
        <v/>
      </c>
      <c r="F533" t="str">
        <f>_xlfn.XLOOKUP(Table1[[#This Row],[SelGZ]]&amp;Table1[[#This Row],[Tipo de Servicio]],CatPEP!A:A,CatPEP!C:C,"")</f>
        <v/>
      </c>
      <c r="G533" t="str">
        <f>_xlfn.XLOOKUP(Table1[[#This Row],[PEP]],CatPEP!C:C,CatPEP!D:D,"")</f>
        <v/>
      </c>
      <c r="O533" s="53">
        <f>SUMIF('Registro Refacciones'!B:B, I533, 'Registro Refacciones'!I:I)</f>
        <v>0</v>
      </c>
      <c r="P533" s="26">
        <f>Table1[[#This Row],[Costo Servicio]]+Table1[[#This Row],[Refacciones]]</f>
        <v>0</v>
      </c>
      <c r="Q533" s="26"/>
    </row>
    <row r="534" spans="1:17">
      <c r="A534" s="37" t="str">
        <f>IF(Table1[[#This Row],[Tipo de Servicio]]="","",Caratula!$D$15)</f>
        <v/>
      </c>
      <c r="B534" s="37" t="str">
        <f>IF(Table1[[#This Row],[Tipo de Servicio]]="","",Caratula!$D$16)</f>
        <v/>
      </c>
      <c r="C534" s="24" t="str">
        <f>IF(Table1[[#This Row],[Tipo de Servicio]]="","",Caratula!$D$17)</f>
        <v/>
      </c>
      <c r="D534" s="38" t="str">
        <f>IF(ISBLANK(Table1[[#This Row],[Tipo de Servicio]]),"",Caratula!$D$16)</f>
        <v/>
      </c>
      <c r="F534" t="str">
        <f>_xlfn.XLOOKUP(Table1[[#This Row],[SelGZ]]&amp;Table1[[#This Row],[Tipo de Servicio]],CatPEP!A:A,CatPEP!C:C,"")</f>
        <v/>
      </c>
      <c r="G534" t="str">
        <f>_xlfn.XLOOKUP(Table1[[#This Row],[PEP]],CatPEP!C:C,CatPEP!D:D,"")</f>
        <v/>
      </c>
      <c r="O534" s="53">
        <f>SUMIF('Registro Refacciones'!B:B, I534, 'Registro Refacciones'!I:I)</f>
        <v>0</v>
      </c>
      <c r="P534" s="26">
        <f>Table1[[#This Row],[Costo Servicio]]+Table1[[#This Row],[Refacciones]]</f>
        <v>0</v>
      </c>
      <c r="Q534" s="26"/>
    </row>
    <row r="535" spans="1:17">
      <c r="A535" s="37" t="str">
        <f>IF(Table1[[#This Row],[Tipo de Servicio]]="","",Caratula!$D$15)</f>
        <v/>
      </c>
      <c r="B535" s="37" t="str">
        <f>IF(Table1[[#This Row],[Tipo de Servicio]]="","",Caratula!$D$16)</f>
        <v/>
      </c>
      <c r="C535" s="24" t="str">
        <f>IF(Table1[[#This Row],[Tipo de Servicio]]="","",Caratula!$D$17)</f>
        <v/>
      </c>
      <c r="D535" s="38" t="str">
        <f>IF(ISBLANK(Table1[[#This Row],[Tipo de Servicio]]),"",Caratula!$D$16)</f>
        <v/>
      </c>
      <c r="F535" t="str">
        <f>_xlfn.XLOOKUP(Table1[[#This Row],[SelGZ]]&amp;Table1[[#This Row],[Tipo de Servicio]],CatPEP!A:A,CatPEP!C:C,"")</f>
        <v/>
      </c>
      <c r="G535" t="str">
        <f>_xlfn.XLOOKUP(Table1[[#This Row],[PEP]],CatPEP!C:C,CatPEP!D:D,"")</f>
        <v/>
      </c>
      <c r="O535" s="53">
        <f>SUMIF('Registro Refacciones'!B:B, I535, 'Registro Refacciones'!I:I)</f>
        <v>0</v>
      </c>
      <c r="P535" s="26">
        <f>Table1[[#This Row],[Costo Servicio]]+Table1[[#This Row],[Refacciones]]</f>
        <v>0</v>
      </c>
      <c r="Q535" s="26"/>
    </row>
    <row r="536" spans="1:17">
      <c r="A536" s="37" t="str">
        <f>IF(Table1[[#This Row],[Tipo de Servicio]]="","",Caratula!$D$15)</f>
        <v/>
      </c>
      <c r="B536" s="37" t="str">
        <f>IF(Table1[[#This Row],[Tipo de Servicio]]="","",Caratula!$D$16)</f>
        <v/>
      </c>
      <c r="C536" s="24" t="str">
        <f>IF(Table1[[#This Row],[Tipo de Servicio]]="","",Caratula!$D$17)</f>
        <v/>
      </c>
      <c r="D536" s="38" t="str">
        <f>IF(ISBLANK(Table1[[#This Row],[Tipo de Servicio]]),"",Caratula!$D$16)</f>
        <v/>
      </c>
      <c r="F536" t="str">
        <f>_xlfn.XLOOKUP(Table1[[#This Row],[SelGZ]]&amp;Table1[[#This Row],[Tipo de Servicio]],CatPEP!A:A,CatPEP!C:C,"")</f>
        <v/>
      </c>
      <c r="G536" t="str">
        <f>_xlfn.XLOOKUP(Table1[[#This Row],[PEP]],CatPEP!C:C,CatPEP!D:D,"")</f>
        <v/>
      </c>
      <c r="O536" s="53">
        <f>SUMIF('Registro Refacciones'!B:B, I536, 'Registro Refacciones'!I:I)</f>
        <v>0</v>
      </c>
      <c r="P536" s="26">
        <f>Table1[[#This Row],[Costo Servicio]]+Table1[[#This Row],[Refacciones]]</f>
        <v>0</v>
      </c>
      <c r="Q536" s="26"/>
    </row>
    <row r="537" spans="1:17">
      <c r="A537" s="37" t="str">
        <f>IF(Table1[[#This Row],[Tipo de Servicio]]="","",Caratula!$D$15)</f>
        <v/>
      </c>
      <c r="B537" s="37" t="str">
        <f>IF(Table1[[#This Row],[Tipo de Servicio]]="","",Caratula!$D$16)</f>
        <v/>
      </c>
      <c r="C537" s="24" t="str">
        <f>IF(Table1[[#This Row],[Tipo de Servicio]]="","",Caratula!$D$17)</f>
        <v/>
      </c>
      <c r="D537" s="38" t="str">
        <f>IF(ISBLANK(Table1[[#This Row],[Tipo de Servicio]]),"",Caratula!$D$16)</f>
        <v/>
      </c>
      <c r="F537" t="str">
        <f>_xlfn.XLOOKUP(Table1[[#This Row],[SelGZ]]&amp;Table1[[#This Row],[Tipo de Servicio]],CatPEP!A:A,CatPEP!C:C,"")</f>
        <v/>
      </c>
      <c r="G537" t="str">
        <f>_xlfn.XLOOKUP(Table1[[#This Row],[PEP]],CatPEP!C:C,CatPEP!D:D,"")</f>
        <v/>
      </c>
      <c r="O537" s="53">
        <f>SUMIF('Registro Refacciones'!B:B, I537, 'Registro Refacciones'!I:I)</f>
        <v>0</v>
      </c>
      <c r="P537" s="26">
        <f>Table1[[#This Row],[Costo Servicio]]+Table1[[#This Row],[Refacciones]]</f>
        <v>0</v>
      </c>
      <c r="Q537" s="26"/>
    </row>
    <row r="538" spans="1:17">
      <c r="A538" s="37" t="str">
        <f>IF(Table1[[#This Row],[Tipo de Servicio]]="","",Caratula!$D$15)</f>
        <v/>
      </c>
      <c r="B538" s="37" t="str">
        <f>IF(Table1[[#This Row],[Tipo de Servicio]]="","",Caratula!$D$16)</f>
        <v/>
      </c>
      <c r="C538" s="24" t="str">
        <f>IF(Table1[[#This Row],[Tipo de Servicio]]="","",Caratula!$D$17)</f>
        <v/>
      </c>
      <c r="D538" s="38" t="str">
        <f>IF(ISBLANK(Table1[[#This Row],[Tipo de Servicio]]),"",Caratula!$D$16)</f>
        <v/>
      </c>
      <c r="F538" t="str">
        <f>_xlfn.XLOOKUP(Table1[[#This Row],[SelGZ]]&amp;Table1[[#This Row],[Tipo de Servicio]],CatPEP!A:A,CatPEP!C:C,"")</f>
        <v/>
      </c>
      <c r="G538" t="str">
        <f>_xlfn.XLOOKUP(Table1[[#This Row],[PEP]],CatPEP!C:C,CatPEP!D:D,"")</f>
        <v/>
      </c>
      <c r="O538" s="53">
        <f>SUMIF('Registro Refacciones'!B:B, I538, 'Registro Refacciones'!I:I)</f>
        <v>0</v>
      </c>
      <c r="P538" s="26">
        <f>Table1[[#This Row],[Costo Servicio]]+Table1[[#This Row],[Refacciones]]</f>
        <v>0</v>
      </c>
      <c r="Q538" s="26"/>
    </row>
    <row r="539" spans="1:17">
      <c r="A539" s="37" t="str">
        <f>IF(Table1[[#This Row],[Tipo de Servicio]]="","",Caratula!$D$15)</f>
        <v/>
      </c>
      <c r="B539" s="37" t="str">
        <f>IF(Table1[[#This Row],[Tipo de Servicio]]="","",Caratula!$D$16)</f>
        <v/>
      </c>
      <c r="C539" s="24" t="str">
        <f>IF(Table1[[#This Row],[Tipo de Servicio]]="","",Caratula!$D$17)</f>
        <v/>
      </c>
      <c r="D539" s="38" t="str">
        <f>IF(ISBLANK(Table1[[#This Row],[Tipo de Servicio]]),"",Caratula!$D$16)</f>
        <v/>
      </c>
      <c r="F539" t="str">
        <f>_xlfn.XLOOKUP(Table1[[#This Row],[SelGZ]]&amp;Table1[[#This Row],[Tipo de Servicio]],CatPEP!A:A,CatPEP!C:C,"")</f>
        <v/>
      </c>
      <c r="G539" t="str">
        <f>_xlfn.XLOOKUP(Table1[[#This Row],[PEP]],CatPEP!C:C,CatPEP!D:D,"")</f>
        <v/>
      </c>
      <c r="O539" s="53">
        <f>SUMIF('Registro Refacciones'!B:B, I539, 'Registro Refacciones'!I:I)</f>
        <v>0</v>
      </c>
      <c r="P539" s="26">
        <f>Table1[[#This Row],[Costo Servicio]]+Table1[[#This Row],[Refacciones]]</f>
        <v>0</v>
      </c>
      <c r="Q539" s="26"/>
    </row>
    <row r="540" spans="1:17">
      <c r="A540" s="37" t="str">
        <f>IF(Table1[[#This Row],[Tipo de Servicio]]="","",Caratula!$D$15)</f>
        <v/>
      </c>
      <c r="B540" s="37" t="str">
        <f>IF(Table1[[#This Row],[Tipo de Servicio]]="","",Caratula!$D$16)</f>
        <v/>
      </c>
      <c r="C540" s="24" t="str">
        <f>IF(Table1[[#This Row],[Tipo de Servicio]]="","",Caratula!$D$17)</f>
        <v/>
      </c>
      <c r="D540" s="38" t="str">
        <f>IF(ISBLANK(Table1[[#This Row],[Tipo de Servicio]]),"",Caratula!$D$16)</f>
        <v/>
      </c>
      <c r="F540" t="str">
        <f>_xlfn.XLOOKUP(Table1[[#This Row],[SelGZ]]&amp;Table1[[#This Row],[Tipo de Servicio]],CatPEP!A:A,CatPEP!C:C,"")</f>
        <v/>
      </c>
      <c r="G540" t="str">
        <f>_xlfn.XLOOKUP(Table1[[#This Row],[PEP]],CatPEP!C:C,CatPEP!D:D,"")</f>
        <v/>
      </c>
      <c r="O540" s="53">
        <f>SUMIF('Registro Refacciones'!B:B, I540, 'Registro Refacciones'!I:I)</f>
        <v>0</v>
      </c>
      <c r="P540" s="26">
        <f>Table1[[#This Row],[Costo Servicio]]+Table1[[#This Row],[Refacciones]]</f>
        <v>0</v>
      </c>
      <c r="Q540" s="26"/>
    </row>
    <row r="541" spans="1:17">
      <c r="A541" s="37" t="str">
        <f>IF(Table1[[#This Row],[Tipo de Servicio]]="","",Caratula!$D$15)</f>
        <v/>
      </c>
      <c r="B541" s="37" t="str">
        <f>IF(Table1[[#This Row],[Tipo de Servicio]]="","",Caratula!$D$16)</f>
        <v/>
      </c>
      <c r="C541" s="24" t="str">
        <f>IF(Table1[[#This Row],[Tipo de Servicio]]="","",Caratula!$D$17)</f>
        <v/>
      </c>
      <c r="D541" s="38" t="str">
        <f>IF(ISBLANK(Table1[[#This Row],[Tipo de Servicio]]),"",Caratula!$D$16)</f>
        <v/>
      </c>
      <c r="F541" t="str">
        <f>_xlfn.XLOOKUP(Table1[[#This Row],[SelGZ]]&amp;Table1[[#This Row],[Tipo de Servicio]],CatPEP!A:A,CatPEP!C:C,"")</f>
        <v/>
      </c>
      <c r="G541" t="str">
        <f>_xlfn.XLOOKUP(Table1[[#This Row],[PEP]],CatPEP!C:C,CatPEP!D:D,"")</f>
        <v/>
      </c>
      <c r="O541" s="53">
        <f>SUMIF('Registro Refacciones'!B:B, I541, 'Registro Refacciones'!I:I)</f>
        <v>0</v>
      </c>
      <c r="P541" s="26">
        <f>Table1[[#This Row],[Costo Servicio]]+Table1[[#This Row],[Refacciones]]</f>
        <v>0</v>
      </c>
      <c r="Q541" s="26"/>
    </row>
    <row r="542" spans="1:17">
      <c r="A542" s="37" t="str">
        <f>IF(Table1[[#This Row],[Tipo de Servicio]]="","",Caratula!$D$15)</f>
        <v/>
      </c>
      <c r="B542" s="37" t="str">
        <f>IF(Table1[[#This Row],[Tipo de Servicio]]="","",Caratula!$D$16)</f>
        <v/>
      </c>
      <c r="C542" s="24" t="str">
        <f>IF(Table1[[#This Row],[Tipo de Servicio]]="","",Caratula!$D$17)</f>
        <v/>
      </c>
      <c r="D542" s="38" t="str">
        <f>IF(ISBLANK(Table1[[#This Row],[Tipo de Servicio]]),"",Caratula!$D$16)</f>
        <v/>
      </c>
      <c r="F542" t="str">
        <f>_xlfn.XLOOKUP(Table1[[#This Row],[SelGZ]]&amp;Table1[[#This Row],[Tipo de Servicio]],CatPEP!A:A,CatPEP!C:C,"")</f>
        <v/>
      </c>
      <c r="G542" t="str">
        <f>_xlfn.XLOOKUP(Table1[[#This Row],[PEP]],CatPEP!C:C,CatPEP!D:D,"")</f>
        <v/>
      </c>
      <c r="O542" s="53">
        <f>SUMIF('Registro Refacciones'!B:B, I542, 'Registro Refacciones'!I:I)</f>
        <v>0</v>
      </c>
      <c r="P542" s="26">
        <f>Table1[[#This Row],[Costo Servicio]]+Table1[[#This Row],[Refacciones]]</f>
        <v>0</v>
      </c>
      <c r="Q542" s="26"/>
    </row>
    <row r="543" spans="1:17">
      <c r="A543" s="37" t="str">
        <f>IF(Table1[[#This Row],[Tipo de Servicio]]="","",Caratula!$D$15)</f>
        <v/>
      </c>
      <c r="B543" s="37" t="str">
        <f>IF(Table1[[#This Row],[Tipo de Servicio]]="","",Caratula!$D$16)</f>
        <v/>
      </c>
      <c r="C543" s="24" t="str">
        <f>IF(Table1[[#This Row],[Tipo de Servicio]]="","",Caratula!$D$17)</f>
        <v/>
      </c>
      <c r="D543" s="38" t="str">
        <f>IF(ISBLANK(Table1[[#This Row],[Tipo de Servicio]]),"",Caratula!$D$16)</f>
        <v/>
      </c>
      <c r="F543" t="str">
        <f>_xlfn.XLOOKUP(Table1[[#This Row],[SelGZ]]&amp;Table1[[#This Row],[Tipo de Servicio]],CatPEP!A:A,CatPEP!C:C,"")</f>
        <v/>
      </c>
      <c r="G543" t="str">
        <f>_xlfn.XLOOKUP(Table1[[#This Row],[PEP]],CatPEP!C:C,CatPEP!D:D,"")</f>
        <v/>
      </c>
      <c r="O543" s="53">
        <f>SUMIF('Registro Refacciones'!B:B, I543, 'Registro Refacciones'!I:I)</f>
        <v>0</v>
      </c>
      <c r="P543" s="26">
        <f>Table1[[#This Row],[Costo Servicio]]+Table1[[#This Row],[Refacciones]]</f>
        <v>0</v>
      </c>
      <c r="Q543" s="26"/>
    </row>
    <row r="544" spans="1:17">
      <c r="A544" s="37" t="str">
        <f>IF(Table1[[#This Row],[Tipo de Servicio]]="","",Caratula!$D$15)</f>
        <v/>
      </c>
      <c r="B544" s="37" t="str">
        <f>IF(Table1[[#This Row],[Tipo de Servicio]]="","",Caratula!$D$16)</f>
        <v/>
      </c>
      <c r="C544" s="24" t="str">
        <f>IF(Table1[[#This Row],[Tipo de Servicio]]="","",Caratula!$D$17)</f>
        <v/>
      </c>
      <c r="D544" s="38" t="str">
        <f>IF(ISBLANK(Table1[[#This Row],[Tipo de Servicio]]),"",Caratula!$D$16)</f>
        <v/>
      </c>
      <c r="F544" t="str">
        <f>_xlfn.XLOOKUP(Table1[[#This Row],[SelGZ]]&amp;Table1[[#This Row],[Tipo de Servicio]],CatPEP!A:A,CatPEP!C:C,"")</f>
        <v/>
      </c>
      <c r="G544" t="str">
        <f>_xlfn.XLOOKUP(Table1[[#This Row],[PEP]],CatPEP!C:C,CatPEP!D:D,"")</f>
        <v/>
      </c>
      <c r="O544" s="53">
        <f>SUMIF('Registro Refacciones'!B:B, I544, 'Registro Refacciones'!I:I)</f>
        <v>0</v>
      </c>
      <c r="P544" s="26">
        <f>Table1[[#This Row],[Costo Servicio]]+Table1[[#This Row],[Refacciones]]</f>
        <v>0</v>
      </c>
      <c r="Q544" s="26"/>
    </row>
    <row r="545" spans="1:17">
      <c r="A545" s="37" t="str">
        <f>IF(Table1[[#This Row],[Tipo de Servicio]]="","",Caratula!$D$15)</f>
        <v/>
      </c>
      <c r="B545" s="37" t="str">
        <f>IF(Table1[[#This Row],[Tipo de Servicio]]="","",Caratula!$D$16)</f>
        <v/>
      </c>
      <c r="C545" s="24" t="str">
        <f>IF(Table1[[#This Row],[Tipo de Servicio]]="","",Caratula!$D$17)</f>
        <v/>
      </c>
      <c r="D545" s="38" t="str">
        <f>IF(ISBLANK(Table1[[#This Row],[Tipo de Servicio]]),"",Caratula!$D$16)</f>
        <v/>
      </c>
      <c r="F545" t="str">
        <f>_xlfn.XLOOKUP(Table1[[#This Row],[SelGZ]]&amp;Table1[[#This Row],[Tipo de Servicio]],CatPEP!A:A,CatPEP!C:C,"")</f>
        <v/>
      </c>
      <c r="G545" t="str">
        <f>_xlfn.XLOOKUP(Table1[[#This Row],[PEP]],CatPEP!C:C,CatPEP!D:D,"")</f>
        <v/>
      </c>
      <c r="O545" s="53">
        <f>SUMIF('Registro Refacciones'!B:B, I545, 'Registro Refacciones'!I:I)</f>
        <v>0</v>
      </c>
      <c r="P545" s="26">
        <f>Table1[[#This Row],[Costo Servicio]]+Table1[[#This Row],[Refacciones]]</f>
        <v>0</v>
      </c>
      <c r="Q545" s="26"/>
    </row>
    <row r="546" spans="1:17">
      <c r="A546" s="37" t="str">
        <f>IF(Table1[[#This Row],[Tipo de Servicio]]="","",Caratula!$D$15)</f>
        <v/>
      </c>
      <c r="B546" s="37" t="str">
        <f>IF(Table1[[#This Row],[Tipo de Servicio]]="","",Caratula!$D$16)</f>
        <v/>
      </c>
      <c r="C546" s="24" t="str">
        <f>IF(Table1[[#This Row],[Tipo de Servicio]]="","",Caratula!$D$17)</f>
        <v/>
      </c>
      <c r="D546" s="38" t="str">
        <f>IF(ISBLANK(Table1[[#This Row],[Tipo de Servicio]]),"",Caratula!$D$16)</f>
        <v/>
      </c>
      <c r="F546" t="str">
        <f>_xlfn.XLOOKUP(Table1[[#This Row],[SelGZ]]&amp;Table1[[#This Row],[Tipo de Servicio]],CatPEP!A:A,CatPEP!C:C,"")</f>
        <v/>
      </c>
      <c r="G546" t="str">
        <f>_xlfn.XLOOKUP(Table1[[#This Row],[PEP]],CatPEP!C:C,CatPEP!D:D,"")</f>
        <v/>
      </c>
      <c r="O546" s="53">
        <f>SUMIF('Registro Refacciones'!B:B, I546, 'Registro Refacciones'!I:I)</f>
        <v>0</v>
      </c>
      <c r="P546" s="26">
        <f>Table1[[#This Row],[Costo Servicio]]+Table1[[#This Row],[Refacciones]]</f>
        <v>0</v>
      </c>
      <c r="Q546" s="26"/>
    </row>
    <row r="547" spans="1:17">
      <c r="A547" s="37" t="str">
        <f>IF(Table1[[#This Row],[Tipo de Servicio]]="","",Caratula!$D$15)</f>
        <v/>
      </c>
      <c r="B547" s="37" t="str">
        <f>IF(Table1[[#This Row],[Tipo de Servicio]]="","",Caratula!$D$16)</f>
        <v/>
      </c>
      <c r="C547" s="24" t="str">
        <f>IF(Table1[[#This Row],[Tipo de Servicio]]="","",Caratula!$D$17)</f>
        <v/>
      </c>
      <c r="D547" s="38" t="str">
        <f>IF(ISBLANK(Table1[[#This Row],[Tipo de Servicio]]),"",Caratula!$D$16)</f>
        <v/>
      </c>
      <c r="F547" t="str">
        <f>_xlfn.XLOOKUP(Table1[[#This Row],[SelGZ]]&amp;Table1[[#This Row],[Tipo de Servicio]],CatPEP!A:A,CatPEP!C:C,"")</f>
        <v/>
      </c>
      <c r="G547" t="str">
        <f>_xlfn.XLOOKUP(Table1[[#This Row],[PEP]],CatPEP!C:C,CatPEP!D:D,"")</f>
        <v/>
      </c>
      <c r="O547" s="53">
        <f>SUMIF('Registro Refacciones'!B:B, I547, 'Registro Refacciones'!I:I)</f>
        <v>0</v>
      </c>
      <c r="P547" s="26">
        <f>Table1[[#This Row],[Costo Servicio]]+Table1[[#This Row],[Refacciones]]</f>
        <v>0</v>
      </c>
      <c r="Q547" s="26"/>
    </row>
    <row r="548" spans="1:17">
      <c r="A548" s="37" t="str">
        <f>IF(Table1[[#This Row],[Tipo de Servicio]]="","",Caratula!$D$15)</f>
        <v/>
      </c>
      <c r="B548" s="37" t="str">
        <f>IF(Table1[[#This Row],[Tipo de Servicio]]="","",Caratula!$D$16)</f>
        <v/>
      </c>
      <c r="C548" s="24" t="str">
        <f>IF(Table1[[#This Row],[Tipo de Servicio]]="","",Caratula!$D$17)</f>
        <v/>
      </c>
      <c r="D548" s="38" t="str">
        <f>IF(ISBLANK(Table1[[#This Row],[Tipo de Servicio]]),"",Caratula!$D$16)</f>
        <v/>
      </c>
      <c r="F548" t="str">
        <f>_xlfn.XLOOKUP(Table1[[#This Row],[SelGZ]]&amp;Table1[[#This Row],[Tipo de Servicio]],CatPEP!A:A,CatPEP!C:C,"")</f>
        <v/>
      </c>
      <c r="G548" t="str">
        <f>_xlfn.XLOOKUP(Table1[[#This Row],[PEP]],CatPEP!C:C,CatPEP!D:D,"")</f>
        <v/>
      </c>
      <c r="O548" s="53">
        <f>SUMIF('Registro Refacciones'!B:B, I548, 'Registro Refacciones'!I:I)</f>
        <v>0</v>
      </c>
      <c r="P548" s="26">
        <f>Table1[[#This Row],[Costo Servicio]]+Table1[[#This Row],[Refacciones]]</f>
        <v>0</v>
      </c>
      <c r="Q548" s="26"/>
    </row>
    <row r="549" spans="1:17">
      <c r="A549" s="37" t="str">
        <f>IF(Table1[[#This Row],[Tipo de Servicio]]="","",Caratula!$D$15)</f>
        <v/>
      </c>
      <c r="B549" s="37" t="str">
        <f>IF(Table1[[#This Row],[Tipo de Servicio]]="","",Caratula!$D$16)</f>
        <v/>
      </c>
      <c r="C549" s="24" t="str">
        <f>IF(Table1[[#This Row],[Tipo de Servicio]]="","",Caratula!$D$17)</f>
        <v/>
      </c>
      <c r="D549" s="38" t="str">
        <f>IF(ISBLANK(Table1[[#This Row],[Tipo de Servicio]]),"",Caratula!$D$16)</f>
        <v/>
      </c>
      <c r="F549" t="str">
        <f>_xlfn.XLOOKUP(Table1[[#This Row],[SelGZ]]&amp;Table1[[#This Row],[Tipo de Servicio]],CatPEP!A:A,CatPEP!C:C,"")</f>
        <v/>
      </c>
      <c r="G549" t="str">
        <f>_xlfn.XLOOKUP(Table1[[#This Row],[PEP]],CatPEP!C:C,CatPEP!D:D,"")</f>
        <v/>
      </c>
      <c r="O549" s="53">
        <f>SUMIF('Registro Refacciones'!B:B, I549, 'Registro Refacciones'!I:I)</f>
        <v>0</v>
      </c>
      <c r="P549" s="26">
        <f>Table1[[#This Row],[Costo Servicio]]+Table1[[#This Row],[Refacciones]]</f>
        <v>0</v>
      </c>
      <c r="Q549" s="26"/>
    </row>
    <row r="550" spans="1:17">
      <c r="A550" s="37" t="str">
        <f>IF(Table1[[#This Row],[Tipo de Servicio]]="","",Caratula!$D$15)</f>
        <v/>
      </c>
      <c r="B550" s="37" t="str">
        <f>IF(Table1[[#This Row],[Tipo de Servicio]]="","",Caratula!$D$16)</f>
        <v/>
      </c>
      <c r="C550" s="24" t="str">
        <f>IF(Table1[[#This Row],[Tipo de Servicio]]="","",Caratula!$D$17)</f>
        <v/>
      </c>
      <c r="D550" s="38" t="str">
        <f>IF(ISBLANK(Table1[[#This Row],[Tipo de Servicio]]),"",Caratula!$D$16)</f>
        <v/>
      </c>
      <c r="F550" t="str">
        <f>_xlfn.XLOOKUP(Table1[[#This Row],[SelGZ]]&amp;Table1[[#This Row],[Tipo de Servicio]],CatPEP!A:A,CatPEP!C:C,"")</f>
        <v/>
      </c>
      <c r="G550" t="str">
        <f>_xlfn.XLOOKUP(Table1[[#This Row],[PEP]],CatPEP!C:C,CatPEP!D:D,"")</f>
        <v/>
      </c>
      <c r="O550" s="53">
        <f>SUMIF('Registro Refacciones'!B:B, I550, 'Registro Refacciones'!I:I)</f>
        <v>0</v>
      </c>
      <c r="P550" s="26">
        <f>Table1[[#This Row],[Costo Servicio]]+Table1[[#This Row],[Refacciones]]</f>
        <v>0</v>
      </c>
      <c r="Q550" s="26"/>
    </row>
    <row r="551" spans="1:17">
      <c r="A551" s="37" t="str">
        <f>IF(Table1[[#This Row],[Tipo de Servicio]]="","",Caratula!$D$15)</f>
        <v/>
      </c>
      <c r="B551" s="37" t="str">
        <f>IF(Table1[[#This Row],[Tipo de Servicio]]="","",Caratula!$D$16)</f>
        <v/>
      </c>
      <c r="C551" s="24" t="str">
        <f>IF(Table1[[#This Row],[Tipo de Servicio]]="","",Caratula!$D$17)</f>
        <v/>
      </c>
      <c r="D551" s="38" t="str">
        <f>IF(ISBLANK(Table1[[#This Row],[Tipo de Servicio]]),"",Caratula!$D$16)</f>
        <v/>
      </c>
      <c r="F551" t="str">
        <f>_xlfn.XLOOKUP(Table1[[#This Row],[SelGZ]]&amp;Table1[[#This Row],[Tipo de Servicio]],CatPEP!A:A,CatPEP!C:C,"")</f>
        <v/>
      </c>
      <c r="G551" t="str">
        <f>_xlfn.XLOOKUP(Table1[[#This Row],[PEP]],CatPEP!C:C,CatPEP!D:D,"")</f>
        <v/>
      </c>
      <c r="O551" s="53">
        <f>SUMIF('Registro Refacciones'!B:B, I551, 'Registro Refacciones'!I:I)</f>
        <v>0</v>
      </c>
      <c r="P551" s="26">
        <f>Table1[[#This Row],[Costo Servicio]]+Table1[[#This Row],[Refacciones]]</f>
        <v>0</v>
      </c>
      <c r="Q551" s="26"/>
    </row>
    <row r="552" spans="1:17">
      <c r="A552" s="37" t="str">
        <f>IF(Table1[[#This Row],[Tipo de Servicio]]="","",Caratula!$D$15)</f>
        <v/>
      </c>
      <c r="B552" s="37" t="str">
        <f>IF(Table1[[#This Row],[Tipo de Servicio]]="","",Caratula!$D$16)</f>
        <v/>
      </c>
      <c r="C552" s="24" t="str">
        <f>IF(Table1[[#This Row],[Tipo de Servicio]]="","",Caratula!$D$17)</f>
        <v/>
      </c>
      <c r="D552" s="38" t="str">
        <f>IF(ISBLANK(Table1[[#This Row],[Tipo de Servicio]]),"",Caratula!$D$16)</f>
        <v/>
      </c>
      <c r="F552" t="str">
        <f>_xlfn.XLOOKUP(Table1[[#This Row],[SelGZ]]&amp;Table1[[#This Row],[Tipo de Servicio]],CatPEP!A:A,CatPEP!C:C,"")</f>
        <v/>
      </c>
      <c r="G552" t="str">
        <f>_xlfn.XLOOKUP(Table1[[#This Row],[PEP]],CatPEP!C:C,CatPEP!D:D,"")</f>
        <v/>
      </c>
      <c r="O552" s="53">
        <f>SUMIF('Registro Refacciones'!B:B, I552, 'Registro Refacciones'!I:I)</f>
        <v>0</v>
      </c>
      <c r="P552" s="26">
        <f>Table1[[#This Row],[Costo Servicio]]+Table1[[#This Row],[Refacciones]]</f>
        <v>0</v>
      </c>
      <c r="Q552" s="26"/>
    </row>
    <row r="553" spans="1:17">
      <c r="A553" s="37" t="str">
        <f>IF(Table1[[#This Row],[Tipo de Servicio]]="","",Caratula!$D$15)</f>
        <v/>
      </c>
      <c r="B553" s="37" t="str">
        <f>IF(Table1[[#This Row],[Tipo de Servicio]]="","",Caratula!$D$16)</f>
        <v/>
      </c>
      <c r="C553" s="24" t="str">
        <f>IF(Table1[[#This Row],[Tipo de Servicio]]="","",Caratula!$D$17)</f>
        <v/>
      </c>
      <c r="D553" s="38" t="str">
        <f>IF(ISBLANK(Table1[[#This Row],[Tipo de Servicio]]),"",Caratula!$D$16)</f>
        <v/>
      </c>
      <c r="F553" t="str">
        <f>_xlfn.XLOOKUP(Table1[[#This Row],[SelGZ]]&amp;Table1[[#This Row],[Tipo de Servicio]],CatPEP!A:A,CatPEP!C:C,"")</f>
        <v/>
      </c>
      <c r="G553" t="str">
        <f>_xlfn.XLOOKUP(Table1[[#This Row],[PEP]],CatPEP!C:C,CatPEP!D:D,"")</f>
        <v/>
      </c>
      <c r="O553" s="53">
        <f>SUMIF('Registro Refacciones'!B:B, I553, 'Registro Refacciones'!I:I)</f>
        <v>0</v>
      </c>
      <c r="P553" s="26">
        <f>Table1[[#This Row],[Costo Servicio]]+Table1[[#This Row],[Refacciones]]</f>
        <v>0</v>
      </c>
      <c r="Q553" s="26"/>
    </row>
    <row r="554" spans="1:17">
      <c r="A554" s="37" t="str">
        <f>IF(Table1[[#This Row],[Tipo de Servicio]]="","",Caratula!$D$15)</f>
        <v/>
      </c>
      <c r="B554" s="37" t="str">
        <f>IF(Table1[[#This Row],[Tipo de Servicio]]="","",Caratula!$D$16)</f>
        <v/>
      </c>
      <c r="C554" s="24" t="str">
        <f>IF(Table1[[#This Row],[Tipo de Servicio]]="","",Caratula!$D$17)</f>
        <v/>
      </c>
      <c r="D554" s="38" t="str">
        <f>IF(ISBLANK(Table1[[#This Row],[Tipo de Servicio]]),"",Caratula!$D$16)</f>
        <v/>
      </c>
      <c r="F554" t="str">
        <f>_xlfn.XLOOKUP(Table1[[#This Row],[SelGZ]]&amp;Table1[[#This Row],[Tipo de Servicio]],CatPEP!A:A,CatPEP!C:C,"")</f>
        <v/>
      </c>
      <c r="G554" t="str">
        <f>_xlfn.XLOOKUP(Table1[[#This Row],[PEP]],CatPEP!C:C,CatPEP!D:D,"")</f>
        <v/>
      </c>
      <c r="O554" s="53">
        <f>SUMIF('Registro Refacciones'!B:B, I554, 'Registro Refacciones'!I:I)</f>
        <v>0</v>
      </c>
      <c r="P554" s="26">
        <f>Table1[[#This Row],[Costo Servicio]]+Table1[[#This Row],[Refacciones]]</f>
        <v>0</v>
      </c>
      <c r="Q554" s="26"/>
    </row>
    <row r="555" spans="1:17">
      <c r="A555" s="37" t="str">
        <f>IF(Table1[[#This Row],[Tipo de Servicio]]="","",Caratula!$D$15)</f>
        <v/>
      </c>
      <c r="B555" s="37" t="str">
        <f>IF(Table1[[#This Row],[Tipo de Servicio]]="","",Caratula!$D$16)</f>
        <v/>
      </c>
      <c r="C555" s="24" t="str">
        <f>IF(Table1[[#This Row],[Tipo de Servicio]]="","",Caratula!$D$17)</f>
        <v/>
      </c>
      <c r="D555" s="38" t="str">
        <f>IF(ISBLANK(Table1[[#This Row],[Tipo de Servicio]]),"",Caratula!$D$16)</f>
        <v/>
      </c>
      <c r="F555" t="str">
        <f>_xlfn.XLOOKUP(Table1[[#This Row],[SelGZ]]&amp;Table1[[#This Row],[Tipo de Servicio]],CatPEP!A:A,CatPEP!C:C,"")</f>
        <v/>
      </c>
      <c r="G555" t="str">
        <f>_xlfn.XLOOKUP(Table1[[#This Row],[PEP]],CatPEP!C:C,CatPEP!D:D,"")</f>
        <v/>
      </c>
      <c r="O555" s="53">
        <f>SUMIF('Registro Refacciones'!B:B, I555, 'Registro Refacciones'!I:I)</f>
        <v>0</v>
      </c>
      <c r="P555" s="26">
        <f>Table1[[#This Row],[Costo Servicio]]+Table1[[#This Row],[Refacciones]]</f>
        <v>0</v>
      </c>
      <c r="Q555" s="26"/>
    </row>
    <row r="556" spans="1:17">
      <c r="A556" s="37" t="str">
        <f>IF(Table1[[#This Row],[Tipo de Servicio]]="","",Caratula!$D$15)</f>
        <v/>
      </c>
      <c r="B556" s="37" t="str">
        <f>IF(Table1[[#This Row],[Tipo de Servicio]]="","",Caratula!$D$16)</f>
        <v/>
      </c>
      <c r="C556" s="24" t="str">
        <f>IF(Table1[[#This Row],[Tipo de Servicio]]="","",Caratula!$D$17)</f>
        <v/>
      </c>
      <c r="D556" s="38" t="str">
        <f>IF(ISBLANK(Table1[[#This Row],[Tipo de Servicio]]),"",Caratula!$D$16)</f>
        <v/>
      </c>
      <c r="F556" t="str">
        <f>_xlfn.XLOOKUP(Table1[[#This Row],[SelGZ]]&amp;Table1[[#This Row],[Tipo de Servicio]],CatPEP!A:A,CatPEP!C:C,"")</f>
        <v/>
      </c>
      <c r="G556" t="str">
        <f>_xlfn.XLOOKUP(Table1[[#This Row],[PEP]],CatPEP!C:C,CatPEP!D:D,"")</f>
        <v/>
      </c>
      <c r="O556" s="53">
        <f>SUMIF('Registro Refacciones'!B:B, I556, 'Registro Refacciones'!I:I)</f>
        <v>0</v>
      </c>
      <c r="P556" s="26">
        <f>Table1[[#This Row],[Costo Servicio]]+Table1[[#This Row],[Refacciones]]</f>
        <v>0</v>
      </c>
      <c r="Q556" s="26"/>
    </row>
    <row r="557" spans="1:17">
      <c r="A557" s="37" t="str">
        <f>IF(Table1[[#This Row],[Tipo de Servicio]]="","",Caratula!$D$15)</f>
        <v/>
      </c>
      <c r="B557" s="37" t="str">
        <f>IF(Table1[[#This Row],[Tipo de Servicio]]="","",Caratula!$D$16)</f>
        <v/>
      </c>
      <c r="C557" s="24" t="str">
        <f>IF(Table1[[#This Row],[Tipo de Servicio]]="","",Caratula!$D$17)</f>
        <v/>
      </c>
      <c r="D557" s="38" t="str">
        <f>IF(ISBLANK(Table1[[#This Row],[Tipo de Servicio]]),"",Caratula!$D$16)</f>
        <v/>
      </c>
      <c r="F557" t="str">
        <f>_xlfn.XLOOKUP(Table1[[#This Row],[SelGZ]]&amp;Table1[[#This Row],[Tipo de Servicio]],CatPEP!A:A,CatPEP!C:C,"")</f>
        <v/>
      </c>
      <c r="G557" t="str">
        <f>_xlfn.XLOOKUP(Table1[[#This Row],[PEP]],CatPEP!C:C,CatPEP!D:D,"")</f>
        <v/>
      </c>
      <c r="O557" s="53">
        <f>SUMIF('Registro Refacciones'!B:B, I557, 'Registro Refacciones'!I:I)</f>
        <v>0</v>
      </c>
      <c r="P557" s="26">
        <f>Table1[[#This Row],[Costo Servicio]]+Table1[[#This Row],[Refacciones]]</f>
        <v>0</v>
      </c>
      <c r="Q557" s="26"/>
    </row>
    <row r="558" spans="1:17">
      <c r="A558" s="37" t="str">
        <f>IF(Table1[[#This Row],[Tipo de Servicio]]="","",Caratula!$D$15)</f>
        <v/>
      </c>
      <c r="B558" s="37" t="str">
        <f>IF(Table1[[#This Row],[Tipo de Servicio]]="","",Caratula!$D$16)</f>
        <v/>
      </c>
      <c r="C558" s="24" t="str">
        <f>IF(Table1[[#This Row],[Tipo de Servicio]]="","",Caratula!$D$17)</f>
        <v/>
      </c>
      <c r="D558" s="38" t="str">
        <f>IF(ISBLANK(Table1[[#This Row],[Tipo de Servicio]]),"",Caratula!$D$16)</f>
        <v/>
      </c>
      <c r="F558" t="str">
        <f>_xlfn.XLOOKUP(Table1[[#This Row],[SelGZ]]&amp;Table1[[#This Row],[Tipo de Servicio]],CatPEP!A:A,CatPEP!C:C,"")</f>
        <v/>
      </c>
      <c r="G558" t="str">
        <f>_xlfn.XLOOKUP(Table1[[#This Row],[PEP]],CatPEP!C:C,CatPEP!D:D,"")</f>
        <v/>
      </c>
      <c r="O558" s="53">
        <f>SUMIF('Registro Refacciones'!B:B, I558, 'Registro Refacciones'!I:I)</f>
        <v>0</v>
      </c>
      <c r="P558" s="26">
        <f>Table1[[#This Row],[Costo Servicio]]+Table1[[#This Row],[Refacciones]]</f>
        <v>0</v>
      </c>
      <c r="Q558" s="26"/>
    </row>
    <row r="559" spans="1:17">
      <c r="A559" s="37" t="str">
        <f>IF(Table1[[#This Row],[Tipo de Servicio]]="","",Caratula!$D$15)</f>
        <v/>
      </c>
      <c r="B559" s="37" t="str">
        <f>IF(Table1[[#This Row],[Tipo de Servicio]]="","",Caratula!$D$16)</f>
        <v/>
      </c>
      <c r="C559" s="24" t="str">
        <f>IF(Table1[[#This Row],[Tipo de Servicio]]="","",Caratula!$D$17)</f>
        <v/>
      </c>
      <c r="D559" s="38" t="str">
        <f>IF(ISBLANK(Table1[[#This Row],[Tipo de Servicio]]),"",Caratula!$D$16)</f>
        <v/>
      </c>
      <c r="F559" t="str">
        <f>_xlfn.XLOOKUP(Table1[[#This Row],[SelGZ]]&amp;Table1[[#This Row],[Tipo de Servicio]],CatPEP!A:A,CatPEP!C:C,"")</f>
        <v/>
      </c>
      <c r="G559" t="str">
        <f>_xlfn.XLOOKUP(Table1[[#This Row],[PEP]],CatPEP!C:C,CatPEP!D:D,"")</f>
        <v/>
      </c>
      <c r="O559" s="53">
        <f>SUMIF('Registro Refacciones'!B:B, I559, 'Registro Refacciones'!I:I)</f>
        <v>0</v>
      </c>
      <c r="P559" s="26">
        <f>Table1[[#This Row],[Costo Servicio]]+Table1[[#This Row],[Refacciones]]</f>
        <v>0</v>
      </c>
      <c r="Q559" s="26"/>
    </row>
    <row r="560" spans="1:17">
      <c r="A560" s="37" t="str">
        <f>IF(Table1[[#This Row],[Tipo de Servicio]]="","",Caratula!$D$15)</f>
        <v/>
      </c>
      <c r="B560" s="37" t="str">
        <f>IF(Table1[[#This Row],[Tipo de Servicio]]="","",Caratula!$D$16)</f>
        <v/>
      </c>
      <c r="C560" s="24" t="str">
        <f>IF(Table1[[#This Row],[Tipo de Servicio]]="","",Caratula!$D$17)</f>
        <v/>
      </c>
      <c r="D560" s="38" t="str">
        <f>IF(ISBLANK(Table1[[#This Row],[Tipo de Servicio]]),"",Caratula!$D$16)</f>
        <v/>
      </c>
      <c r="F560" t="str">
        <f>_xlfn.XLOOKUP(Table1[[#This Row],[SelGZ]]&amp;Table1[[#This Row],[Tipo de Servicio]],CatPEP!A:A,CatPEP!C:C,"")</f>
        <v/>
      </c>
      <c r="G560" t="str">
        <f>_xlfn.XLOOKUP(Table1[[#This Row],[PEP]],CatPEP!C:C,CatPEP!D:D,"")</f>
        <v/>
      </c>
      <c r="O560" s="53">
        <f>SUMIF('Registro Refacciones'!B:B, I560, 'Registro Refacciones'!I:I)</f>
        <v>0</v>
      </c>
      <c r="P560" s="26">
        <f>Table1[[#This Row],[Costo Servicio]]+Table1[[#This Row],[Refacciones]]</f>
        <v>0</v>
      </c>
      <c r="Q560" s="26"/>
    </row>
    <row r="561" spans="1:17">
      <c r="A561" s="37" t="str">
        <f>IF(Table1[[#This Row],[Tipo de Servicio]]="","",Caratula!$D$15)</f>
        <v/>
      </c>
      <c r="B561" s="37" t="str">
        <f>IF(Table1[[#This Row],[Tipo de Servicio]]="","",Caratula!$D$16)</f>
        <v/>
      </c>
      <c r="C561" s="24" t="str">
        <f>IF(Table1[[#This Row],[Tipo de Servicio]]="","",Caratula!$D$17)</f>
        <v/>
      </c>
      <c r="D561" s="38" t="str">
        <f>IF(ISBLANK(Table1[[#This Row],[Tipo de Servicio]]),"",Caratula!$D$16)</f>
        <v/>
      </c>
      <c r="F561" t="str">
        <f>_xlfn.XLOOKUP(Table1[[#This Row],[SelGZ]]&amp;Table1[[#This Row],[Tipo de Servicio]],CatPEP!A:A,CatPEP!C:C,"")</f>
        <v/>
      </c>
      <c r="G561" t="str">
        <f>_xlfn.XLOOKUP(Table1[[#This Row],[PEP]],CatPEP!C:C,CatPEP!D:D,"")</f>
        <v/>
      </c>
      <c r="O561" s="53">
        <f>SUMIF('Registro Refacciones'!B:B, I561, 'Registro Refacciones'!I:I)</f>
        <v>0</v>
      </c>
      <c r="P561" s="26">
        <f>Table1[[#This Row],[Costo Servicio]]+Table1[[#This Row],[Refacciones]]</f>
        <v>0</v>
      </c>
      <c r="Q561" s="26"/>
    </row>
    <row r="562" spans="1:17">
      <c r="A562" s="37" t="str">
        <f>IF(Table1[[#This Row],[Tipo de Servicio]]="","",Caratula!$D$15)</f>
        <v/>
      </c>
      <c r="B562" s="37" t="str">
        <f>IF(Table1[[#This Row],[Tipo de Servicio]]="","",Caratula!$D$16)</f>
        <v/>
      </c>
      <c r="C562" s="24" t="str">
        <f>IF(Table1[[#This Row],[Tipo de Servicio]]="","",Caratula!$D$17)</f>
        <v/>
      </c>
      <c r="D562" s="38" t="str">
        <f>IF(ISBLANK(Table1[[#This Row],[Tipo de Servicio]]),"",Caratula!$D$16)</f>
        <v/>
      </c>
      <c r="F562" t="str">
        <f>_xlfn.XLOOKUP(Table1[[#This Row],[SelGZ]]&amp;Table1[[#This Row],[Tipo de Servicio]],CatPEP!A:A,CatPEP!C:C,"")</f>
        <v/>
      </c>
      <c r="G562" t="str">
        <f>_xlfn.XLOOKUP(Table1[[#This Row],[PEP]],CatPEP!C:C,CatPEP!D:D,"")</f>
        <v/>
      </c>
      <c r="O562" s="53">
        <f>SUMIF('Registro Refacciones'!B:B, I562, 'Registro Refacciones'!I:I)</f>
        <v>0</v>
      </c>
      <c r="P562" s="26">
        <f>Table1[[#This Row],[Costo Servicio]]+Table1[[#This Row],[Refacciones]]</f>
        <v>0</v>
      </c>
      <c r="Q562" s="26"/>
    </row>
    <row r="563" spans="1:17">
      <c r="A563" s="37" t="str">
        <f>IF(Table1[[#This Row],[Tipo de Servicio]]="","",Caratula!$D$15)</f>
        <v/>
      </c>
      <c r="B563" s="37" t="str">
        <f>IF(Table1[[#This Row],[Tipo de Servicio]]="","",Caratula!$D$16)</f>
        <v/>
      </c>
      <c r="C563" s="24" t="str">
        <f>IF(Table1[[#This Row],[Tipo de Servicio]]="","",Caratula!$D$17)</f>
        <v/>
      </c>
      <c r="D563" s="38" t="str">
        <f>IF(ISBLANK(Table1[[#This Row],[Tipo de Servicio]]),"",Caratula!$D$16)</f>
        <v/>
      </c>
      <c r="F563" t="str">
        <f>_xlfn.XLOOKUP(Table1[[#This Row],[SelGZ]]&amp;Table1[[#This Row],[Tipo de Servicio]],CatPEP!A:A,CatPEP!C:C,"")</f>
        <v/>
      </c>
      <c r="G563" t="str">
        <f>_xlfn.XLOOKUP(Table1[[#This Row],[PEP]],CatPEP!C:C,CatPEP!D:D,"")</f>
        <v/>
      </c>
      <c r="O563" s="53">
        <f>SUMIF('Registro Refacciones'!B:B, I563, 'Registro Refacciones'!I:I)</f>
        <v>0</v>
      </c>
      <c r="P563" s="26">
        <f>Table1[[#This Row],[Costo Servicio]]+Table1[[#This Row],[Refacciones]]</f>
        <v>0</v>
      </c>
      <c r="Q563" s="26"/>
    </row>
    <row r="564" spans="1:17">
      <c r="A564" s="37" t="str">
        <f>IF(Table1[[#This Row],[Tipo de Servicio]]="","",Caratula!$D$15)</f>
        <v/>
      </c>
      <c r="B564" s="37" t="str">
        <f>IF(Table1[[#This Row],[Tipo de Servicio]]="","",Caratula!$D$16)</f>
        <v/>
      </c>
      <c r="C564" s="24" t="str">
        <f>IF(Table1[[#This Row],[Tipo de Servicio]]="","",Caratula!$D$17)</f>
        <v/>
      </c>
      <c r="D564" s="38" t="str">
        <f>IF(ISBLANK(Table1[[#This Row],[Tipo de Servicio]]),"",Caratula!$D$16)</f>
        <v/>
      </c>
      <c r="F564" t="str">
        <f>_xlfn.XLOOKUP(Table1[[#This Row],[SelGZ]]&amp;Table1[[#This Row],[Tipo de Servicio]],CatPEP!A:A,CatPEP!C:C,"")</f>
        <v/>
      </c>
      <c r="G564" t="str">
        <f>_xlfn.XLOOKUP(Table1[[#This Row],[PEP]],CatPEP!C:C,CatPEP!D:D,"")</f>
        <v/>
      </c>
      <c r="O564" s="53">
        <f>SUMIF('Registro Refacciones'!B:B, I564, 'Registro Refacciones'!I:I)</f>
        <v>0</v>
      </c>
      <c r="P564" s="26">
        <f>Table1[[#This Row],[Costo Servicio]]+Table1[[#This Row],[Refacciones]]</f>
        <v>0</v>
      </c>
      <c r="Q564" s="26"/>
    </row>
    <row r="565" spans="1:17">
      <c r="A565" s="37" t="str">
        <f>IF(Table1[[#This Row],[Tipo de Servicio]]="","",Caratula!$D$15)</f>
        <v/>
      </c>
      <c r="B565" s="37" t="str">
        <f>IF(Table1[[#This Row],[Tipo de Servicio]]="","",Caratula!$D$16)</f>
        <v/>
      </c>
      <c r="C565" s="24" t="str">
        <f>IF(Table1[[#This Row],[Tipo de Servicio]]="","",Caratula!$D$17)</f>
        <v/>
      </c>
      <c r="D565" s="38" t="str">
        <f>IF(ISBLANK(Table1[[#This Row],[Tipo de Servicio]]),"",Caratula!$D$16)</f>
        <v/>
      </c>
      <c r="F565" t="str">
        <f>_xlfn.XLOOKUP(Table1[[#This Row],[SelGZ]]&amp;Table1[[#This Row],[Tipo de Servicio]],CatPEP!A:A,CatPEP!C:C,"")</f>
        <v/>
      </c>
      <c r="G565" t="str">
        <f>_xlfn.XLOOKUP(Table1[[#This Row],[PEP]],CatPEP!C:C,CatPEP!D:D,"")</f>
        <v/>
      </c>
      <c r="O565" s="53">
        <f>SUMIF('Registro Refacciones'!B:B, I565, 'Registro Refacciones'!I:I)</f>
        <v>0</v>
      </c>
      <c r="P565" s="26">
        <f>Table1[[#This Row],[Costo Servicio]]+Table1[[#This Row],[Refacciones]]</f>
        <v>0</v>
      </c>
      <c r="Q565" s="26"/>
    </row>
    <row r="566" spans="1:17">
      <c r="A566" s="37" t="str">
        <f>IF(Table1[[#This Row],[Tipo de Servicio]]="","",Caratula!$D$15)</f>
        <v/>
      </c>
      <c r="B566" s="37" t="str">
        <f>IF(Table1[[#This Row],[Tipo de Servicio]]="","",Caratula!$D$16)</f>
        <v/>
      </c>
      <c r="C566" s="24" t="str">
        <f>IF(Table1[[#This Row],[Tipo de Servicio]]="","",Caratula!$D$17)</f>
        <v/>
      </c>
      <c r="D566" s="38" t="str">
        <f>IF(ISBLANK(Table1[[#This Row],[Tipo de Servicio]]),"",Caratula!$D$16)</f>
        <v/>
      </c>
      <c r="F566" t="str">
        <f>_xlfn.XLOOKUP(Table1[[#This Row],[SelGZ]]&amp;Table1[[#This Row],[Tipo de Servicio]],CatPEP!A:A,CatPEP!C:C,"")</f>
        <v/>
      </c>
      <c r="G566" t="str">
        <f>_xlfn.XLOOKUP(Table1[[#This Row],[PEP]],CatPEP!C:C,CatPEP!D:D,"")</f>
        <v/>
      </c>
      <c r="O566" s="53">
        <f>SUMIF('Registro Refacciones'!B:B, I566, 'Registro Refacciones'!I:I)</f>
        <v>0</v>
      </c>
      <c r="P566" s="26">
        <f>Table1[[#This Row],[Costo Servicio]]+Table1[[#This Row],[Refacciones]]</f>
        <v>0</v>
      </c>
      <c r="Q566" s="26"/>
    </row>
    <row r="567" spans="1:17">
      <c r="A567" s="37" t="str">
        <f>IF(Table1[[#This Row],[Tipo de Servicio]]="","",Caratula!$D$15)</f>
        <v/>
      </c>
      <c r="B567" s="37" t="str">
        <f>IF(Table1[[#This Row],[Tipo de Servicio]]="","",Caratula!$D$16)</f>
        <v/>
      </c>
      <c r="C567" s="24" t="str">
        <f>IF(Table1[[#This Row],[Tipo de Servicio]]="","",Caratula!$D$17)</f>
        <v/>
      </c>
      <c r="D567" s="38" t="str">
        <f>IF(ISBLANK(Table1[[#This Row],[Tipo de Servicio]]),"",Caratula!$D$16)</f>
        <v/>
      </c>
      <c r="F567" t="str">
        <f>_xlfn.XLOOKUP(Table1[[#This Row],[SelGZ]]&amp;Table1[[#This Row],[Tipo de Servicio]],CatPEP!A:A,CatPEP!C:C,"")</f>
        <v/>
      </c>
      <c r="G567" t="str">
        <f>_xlfn.XLOOKUP(Table1[[#This Row],[PEP]],CatPEP!C:C,CatPEP!D:D,"")</f>
        <v/>
      </c>
      <c r="O567" s="53">
        <f>SUMIF('Registro Refacciones'!B:B, I567, 'Registro Refacciones'!I:I)</f>
        <v>0</v>
      </c>
      <c r="P567" s="26">
        <f>Table1[[#This Row],[Costo Servicio]]+Table1[[#This Row],[Refacciones]]</f>
        <v>0</v>
      </c>
      <c r="Q567" s="26"/>
    </row>
    <row r="568" spans="1:17">
      <c r="A568" s="37" t="str">
        <f>IF(Table1[[#This Row],[Tipo de Servicio]]="","",Caratula!$D$15)</f>
        <v/>
      </c>
      <c r="B568" s="37" t="str">
        <f>IF(Table1[[#This Row],[Tipo de Servicio]]="","",Caratula!$D$16)</f>
        <v/>
      </c>
      <c r="C568" s="24" t="str">
        <f>IF(Table1[[#This Row],[Tipo de Servicio]]="","",Caratula!$D$17)</f>
        <v/>
      </c>
      <c r="D568" s="38" t="str">
        <f>IF(ISBLANK(Table1[[#This Row],[Tipo de Servicio]]),"",Caratula!$D$16)</f>
        <v/>
      </c>
      <c r="F568" t="str">
        <f>_xlfn.XLOOKUP(Table1[[#This Row],[SelGZ]]&amp;Table1[[#This Row],[Tipo de Servicio]],CatPEP!A:A,CatPEP!C:C,"")</f>
        <v/>
      </c>
      <c r="G568" t="str">
        <f>_xlfn.XLOOKUP(Table1[[#This Row],[PEP]],CatPEP!C:C,CatPEP!D:D,"")</f>
        <v/>
      </c>
      <c r="O568" s="53">
        <f>SUMIF('Registro Refacciones'!B:B, I568, 'Registro Refacciones'!I:I)</f>
        <v>0</v>
      </c>
      <c r="P568" s="26">
        <f>Table1[[#This Row],[Costo Servicio]]+Table1[[#This Row],[Refacciones]]</f>
        <v>0</v>
      </c>
      <c r="Q568" s="26"/>
    </row>
    <row r="569" spans="1:17">
      <c r="A569" s="37" t="str">
        <f>IF(Table1[[#This Row],[Tipo de Servicio]]="","",Caratula!$D$15)</f>
        <v/>
      </c>
      <c r="B569" s="37" t="str">
        <f>IF(Table1[[#This Row],[Tipo de Servicio]]="","",Caratula!$D$16)</f>
        <v/>
      </c>
      <c r="C569" s="24" t="str">
        <f>IF(Table1[[#This Row],[Tipo de Servicio]]="","",Caratula!$D$17)</f>
        <v/>
      </c>
      <c r="D569" s="38" t="str">
        <f>IF(ISBLANK(Table1[[#This Row],[Tipo de Servicio]]),"",Caratula!$D$16)</f>
        <v/>
      </c>
      <c r="F569" t="str">
        <f>_xlfn.XLOOKUP(Table1[[#This Row],[SelGZ]]&amp;Table1[[#This Row],[Tipo de Servicio]],CatPEP!A:A,CatPEP!C:C,"")</f>
        <v/>
      </c>
      <c r="G569" t="str">
        <f>_xlfn.XLOOKUP(Table1[[#This Row],[PEP]],CatPEP!C:C,CatPEP!D:D,"")</f>
        <v/>
      </c>
      <c r="O569" s="53">
        <f>SUMIF('Registro Refacciones'!B:B, I569, 'Registro Refacciones'!I:I)</f>
        <v>0</v>
      </c>
      <c r="P569" s="26">
        <f>Table1[[#This Row],[Costo Servicio]]+Table1[[#This Row],[Refacciones]]</f>
        <v>0</v>
      </c>
      <c r="Q569" s="26"/>
    </row>
    <row r="570" spans="1:17">
      <c r="A570" s="37" t="str">
        <f>IF(Table1[[#This Row],[Tipo de Servicio]]="","",Caratula!$D$15)</f>
        <v/>
      </c>
      <c r="B570" s="37" t="str">
        <f>IF(Table1[[#This Row],[Tipo de Servicio]]="","",Caratula!$D$16)</f>
        <v/>
      </c>
      <c r="C570" s="24" t="str">
        <f>IF(Table1[[#This Row],[Tipo de Servicio]]="","",Caratula!$D$17)</f>
        <v/>
      </c>
      <c r="D570" s="38" t="str">
        <f>IF(ISBLANK(Table1[[#This Row],[Tipo de Servicio]]),"",Caratula!$D$16)</f>
        <v/>
      </c>
      <c r="F570" t="str">
        <f>_xlfn.XLOOKUP(Table1[[#This Row],[SelGZ]]&amp;Table1[[#This Row],[Tipo de Servicio]],CatPEP!A:A,CatPEP!C:C,"")</f>
        <v/>
      </c>
      <c r="G570" t="str">
        <f>_xlfn.XLOOKUP(Table1[[#This Row],[PEP]],CatPEP!C:C,CatPEP!D:D,"")</f>
        <v/>
      </c>
      <c r="O570" s="53">
        <f>SUMIF('Registro Refacciones'!B:B, I570, 'Registro Refacciones'!I:I)</f>
        <v>0</v>
      </c>
      <c r="P570" s="26">
        <f>Table1[[#This Row],[Costo Servicio]]+Table1[[#This Row],[Refacciones]]</f>
        <v>0</v>
      </c>
      <c r="Q570" s="26"/>
    </row>
    <row r="571" spans="1:17">
      <c r="A571" s="37" t="str">
        <f>IF(Table1[[#This Row],[Tipo de Servicio]]="","",Caratula!$D$15)</f>
        <v/>
      </c>
      <c r="B571" s="37" t="str">
        <f>IF(Table1[[#This Row],[Tipo de Servicio]]="","",Caratula!$D$16)</f>
        <v/>
      </c>
      <c r="C571" s="24" t="str">
        <f>IF(Table1[[#This Row],[Tipo de Servicio]]="","",Caratula!$D$17)</f>
        <v/>
      </c>
      <c r="D571" s="38" t="str">
        <f>IF(ISBLANK(Table1[[#This Row],[Tipo de Servicio]]),"",Caratula!$D$16)</f>
        <v/>
      </c>
      <c r="F571" t="str">
        <f>_xlfn.XLOOKUP(Table1[[#This Row],[SelGZ]]&amp;Table1[[#This Row],[Tipo de Servicio]],CatPEP!A:A,CatPEP!C:C,"")</f>
        <v/>
      </c>
      <c r="G571" t="str">
        <f>_xlfn.XLOOKUP(Table1[[#This Row],[PEP]],CatPEP!C:C,CatPEP!D:D,"")</f>
        <v/>
      </c>
      <c r="O571" s="53">
        <f>SUMIF('Registro Refacciones'!B:B, I571, 'Registro Refacciones'!I:I)</f>
        <v>0</v>
      </c>
      <c r="P571" s="26">
        <f>Table1[[#This Row],[Costo Servicio]]+Table1[[#This Row],[Refacciones]]</f>
        <v>0</v>
      </c>
      <c r="Q571" s="26"/>
    </row>
    <row r="572" spans="1:17">
      <c r="A572" s="37" t="str">
        <f>IF(Table1[[#This Row],[Tipo de Servicio]]="","",Caratula!$D$15)</f>
        <v/>
      </c>
      <c r="B572" s="37" t="str">
        <f>IF(Table1[[#This Row],[Tipo de Servicio]]="","",Caratula!$D$16)</f>
        <v/>
      </c>
      <c r="C572" s="24" t="str">
        <f>IF(Table1[[#This Row],[Tipo de Servicio]]="","",Caratula!$D$17)</f>
        <v/>
      </c>
      <c r="D572" s="38" t="str">
        <f>IF(ISBLANK(Table1[[#This Row],[Tipo de Servicio]]),"",Caratula!$D$16)</f>
        <v/>
      </c>
      <c r="F572" t="str">
        <f>_xlfn.XLOOKUP(Table1[[#This Row],[SelGZ]]&amp;Table1[[#This Row],[Tipo de Servicio]],CatPEP!A:A,CatPEP!C:C,"")</f>
        <v/>
      </c>
      <c r="G572" t="str">
        <f>_xlfn.XLOOKUP(Table1[[#This Row],[PEP]],CatPEP!C:C,CatPEP!D:D,"")</f>
        <v/>
      </c>
      <c r="O572" s="53">
        <f>SUMIF('Registro Refacciones'!B:B, I572, 'Registro Refacciones'!I:I)</f>
        <v>0</v>
      </c>
      <c r="P572" s="26">
        <f>Table1[[#This Row],[Costo Servicio]]+Table1[[#This Row],[Refacciones]]</f>
        <v>0</v>
      </c>
      <c r="Q572" s="26"/>
    </row>
    <row r="573" spans="1:17">
      <c r="A573" s="37" t="str">
        <f>IF(Table1[[#This Row],[Tipo de Servicio]]="","",Caratula!$D$15)</f>
        <v/>
      </c>
      <c r="B573" s="37" t="str">
        <f>IF(Table1[[#This Row],[Tipo de Servicio]]="","",Caratula!$D$16)</f>
        <v/>
      </c>
      <c r="C573" s="24" t="str">
        <f>IF(Table1[[#This Row],[Tipo de Servicio]]="","",Caratula!$D$17)</f>
        <v/>
      </c>
      <c r="D573" s="38" t="str">
        <f>IF(ISBLANK(Table1[[#This Row],[Tipo de Servicio]]),"",Caratula!$D$16)</f>
        <v/>
      </c>
      <c r="F573" t="str">
        <f>_xlfn.XLOOKUP(Table1[[#This Row],[SelGZ]]&amp;Table1[[#This Row],[Tipo de Servicio]],CatPEP!A:A,CatPEP!C:C,"")</f>
        <v/>
      </c>
      <c r="G573" t="str">
        <f>_xlfn.XLOOKUP(Table1[[#This Row],[PEP]],CatPEP!C:C,CatPEP!D:D,"")</f>
        <v/>
      </c>
      <c r="O573" s="53">
        <f>SUMIF('Registro Refacciones'!B:B, I573, 'Registro Refacciones'!I:I)</f>
        <v>0</v>
      </c>
      <c r="P573" s="26">
        <f>Table1[[#This Row],[Costo Servicio]]+Table1[[#This Row],[Refacciones]]</f>
        <v>0</v>
      </c>
      <c r="Q573" s="26"/>
    </row>
    <row r="574" spans="1:17">
      <c r="A574" s="37" t="str">
        <f>IF(Table1[[#This Row],[Tipo de Servicio]]="","",Caratula!$D$15)</f>
        <v/>
      </c>
      <c r="B574" s="37" t="str">
        <f>IF(Table1[[#This Row],[Tipo de Servicio]]="","",Caratula!$D$16)</f>
        <v/>
      </c>
      <c r="C574" s="24" t="str">
        <f>IF(Table1[[#This Row],[Tipo de Servicio]]="","",Caratula!$D$17)</f>
        <v/>
      </c>
      <c r="D574" s="38" t="str">
        <f>IF(ISBLANK(Table1[[#This Row],[Tipo de Servicio]]),"",Caratula!$D$16)</f>
        <v/>
      </c>
      <c r="F574" t="str">
        <f>_xlfn.XLOOKUP(Table1[[#This Row],[SelGZ]]&amp;Table1[[#This Row],[Tipo de Servicio]],CatPEP!A:A,CatPEP!C:C,"")</f>
        <v/>
      </c>
      <c r="G574" t="str">
        <f>_xlfn.XLOOKUP(Table1[[#This Row],[PEP]],CatPEP!C:C,CatPEP!D:D,"")</f>
        <v/>
      </c>
      <c r="O574" s="53">
        <f>SUMIF('Registro Refacciones'!B:B, I574, 'Registro Refacciones'!I:I)</f>
        <v>0</v>
      </c>
      <c r="P574" s="26">
        <f>Table1[[#This Row],[Costo Servicio]]+Table1[[#This Row],[Refacciones]]</f>
        <v>0</v>
      </c>
      <c r="Q574" s="26"/>
    </row>
    <row r="575" spans="1:17">
      <c r="A575" s="37" t="str">
        <f>IF(Table1[[#This Row],[Tipo de Servicio]]="","",Caratula!$D$15)</f>
        <v/>
      </c>
      <c r="B575" s="37" t="str">
        <f>IF(Table1[[#This Row],[Tipo de Servicio]]="","",Caratula!$D$16)</f>
        <v/>
      </c>
      <c r="C575" s="24" t="str">
        <f>IF(Table1[[#This Row],[Tipo de Servicio]]="","",Caratula!$D$17)</f>
        <v/>
      </c>
      <c r="D575" s="38" t="str">
        <f>IF(ISBLANK(Table1[[#This Row],[Tipo de Servicio]]),"",Caratula!$D$16)</f>
        <v/>
      </c>
      <c r="F575" t="str">
        <f>_xlfn.XLOOKUP(Table1[[#This Row],[SelGZ]]&amp;Table1[[#This Row],[Tipo de Servicio]],CatPEP!A:A,CatPEP!C:C,"")</f>
        <v/>
      </c>
      <c r="G575" t="str">
        <f>_xlfn.XLOOKUP(Table1[[#This Row],[PEP]],CatPEP!C:C,CatPEP!D:D,"")</f>
        <v/>
      </c>
      <c r="O575" s="53">
        <f>SUMIF('Registro Refacciones'!B:B, I575, 'Registro Refacciones'!I:I)</f>
        <v>0</v>
      </c>
      <c r="P575" s="26">
        <f>Table1[[#This Row],[Costo Servicio]]+Table1[[#This Row],[Refacciones]]</f>
        <v>0</v>
      </c>
      <c r="Q575" s="26"/>
    </row>
    <row r="576" spans="1:17">
      <c r="A576" s="37" t="str">
        <f>IF(Table1[[#This Row],[Tipo de Servicio]]="","",Caratula!$D$15)</f>
        <v/>
      </c>
      <c r="B576" s="37" t="str">
        <f>IF(Table1[[#This Row],[Tipo de Servicio]]="","",Caratula!$D$16)</f>
        <v/>
      </c>
      <c r="C576" s="24" t="str">
        <f>IF(Table1[[#This Row],[Tipo de Servicio]]="","",Caratula!$D$17)</f>
        <v/>
      </c>
      <c r="D576" s="38" t="str">
        <f>IF(ISBLANK(Table1[[#This Row],[Tipo de Servicio]]),"",Caratula!$D$16)</f>
        <v/>
      </c>
      <c r="F576" t="str">
        <f>_xlfn.XLOOKUP(Table1[[#This Row],[SelGZ]]&amp;Table1[[#This Row],[Tipo de Servicio]],CatPEP!A:A,CatPEP!C:C,"")</f>
        <v/>
      </c>
      <c r="G576" t="str">
        <f>_xlfn.XLOOKUP(Table1[[#This Row],[PEP]],CatPEP!C:C,CatPEP!D:D,"")</f>
        <v/>
      </c>
      <c r="O576" s="53">
        <f>SUMIF('Registro Refacciones'!B:B, I576, 'Registro Refacciones'!I:I)</f>
        <v>0</v>
      </c>
      <c r="P576" s="26">
        <f>Table1[[#This Row],[Costo Servicio]]+Table1[[#This Row],[Refacciones]]</f>
        <v>0</v>
      </c>
      <c r="Q576" s="26"/>
    </row>
    <row r="577" spans="1:17">
      <c r="A577" s="37" t="str">
        <f>IF(Table1[[#This Row],[Tipo de Servicio]]="","",Caratula!$D$15)</f>
        <v/>
      </c>
      <c r="B577" s="37" t="str">
        <f>IF(Table1[[#This Row],[Tipo de Servicio]]="","",Caratula!$D$16)</f>
        <v/>
      </c>
      <c r="C577" s="24" t="str">
        <f>IF(Table1[[#This Row],[Tipo de Servicio]]="","",Caratula!$D$17)</f>
        <v/>
      </c>
      <c r="D577" s="38" t="str">
        <f>IF(ISBLANK(Table1[[#This Row],[Tipo de Servicio]]),"",Caratula!$D$16)</f>
        <v/>
      </c>
      <c r="F577" t="str">
        <f>_xlfn.XLOOKUP(Table1[[#This Row],[SelGZ]]&amp;Table1[[#This Row],[Tipo de Servicio]],CatPEP!A:A,CatPEP!C:C,"")</f>
        <v/>
      </c>
      <c r="G577" t="str">
        <f>_xlfn.XLOOKUP(Table1[[#This Row],[PEP]],CatPEP!C:C,CatPEP!D:D,"")</f>
        <v/>
      </c>
      <c r="O577" s="53">
        <f>SUMIF('Registro Refacciones'!B:B, I577, 'Registro Refacciones'!I:I)</f>
        <v>0</v>
      </c>
      <c r="P577" s="26">
        <f>Table1[[#This Row],[Costo Servicio]]+Table1[[#This Row],[Refacciones]]</f>
        <v>0</v>
      </c>
      <c r="Q577" s="26"/>
    </row>
    <row r="578" spans="1:17">
      <c r="A578" s="37" t="str">
        <f>IF(Table1[[#This Row],[Tipo de Servicio]]="","",Caratula!$D$15)</f>
        <v/>
      </c>
      <c r="B578" s="37" t="str">
        <f>IF(Table1[[#This Row],[Tipo de Servicio]]="","",Caratula!$D$16)</f>
        <v/>
      </c>
      <c r="C578" s="24" t="str">
        <f>IF(Table1[[#This Row],[Tipo de Servicio]]="","",Caratula!$D$17)</f>
        <v/>
      </c>
      <c r="D578" s="38" t="str">
        <f>IF(ISBLANK(Table1[[#This Row],[Tipo de Servicio]]),"",Caratula!$D$16)</f>
        <v/>
      </c>
      <c r="F578" t="str">
        <f>_xlfn.XLOOKUP(Table1[[#This Row],[SelGZ]]&amp;Table1[[#This Row],[Tipo de Servicio]],CatPEP!A:A,CatPEP!C:C,"")</f>
        <v/>
      </c>
      <c r="G578" t="str">
        <f>_xlfn.XLOOKUP(Table1[[#This Row],[PEP]],CatPEP!C:C,CatPEP!D:D,"")</f>
        <v/>
      </c>
      <c r="O578" s="53">
        <f>SUMIF('Registro Refacciones'!B:B, I578, 'Registro Refacciones'!I:I)</f>
        <v>0</v>
      </c>
      <c r="P578" s="26">
        <f>Table1[[#This Row],[Costo Servicio]]+Table1[[#This Row],[Refacciones]]</f>
        <v>0</v>
      </c>
      <c r="Q578" s="26"/>
    </row>
    <row r="579" spans="1:17">
      <c r="A579" s="37" t="str">
        <f>IF(Table1[[#This Row],[Tipo de Servicio]]="","",Caratula!$D$15)</f>
        <v/>
      </c>
      <c r="B579" s="37" t="str">
        <f>IF(Table1[[#This Row],[Tipo de Servicio]]="","",Caratula!$D$16)</f>
        <v/>
      </c>
      <c r="C579" s="24" t="str">
        <f>IF(Table1[[#This Row],[Tipo de Servicio]]="","",Caratula!$D$17)</f>
        <v/>
      </c>
      <c r="D579" s="38" t="str">
        <f>IF(ISBLANK(Table1[[#This Row],[Tipo de Servicio]]),"",Caratula!$D$16)</f>
        <v/>
      </c>
      <c r="F579" t="str">
        <f>_xlfn.XLOOKUP(Table1[[#This Row],[SelGZ]]&amp;Table1[[#This Row],[Tipo de Servicio]],CatPEP!A:A,CatPEP!C:C,"")</f>
        <v/>
      </c>
      <c r="G579" t="str">
        <f>_xlfn.XLOOKUP(Table1[[#This Row],[PEP]],CatPEP!C:C,CatPEP!D:D,"")</f>
        <v/>
      </c>
      <c r="O579" s="53">
        <f>SUMIF('Registro Refacciones'!B:B, I579, 'Registro Refacciones'!I:I)</f>
        <v>0</v>
      </c>
      <c r="P579" s="26">
        <f>Table1[[#This Row],[Costo Servicio]]+Table1[[#This Row],[Refacciones]]</f>
        <v>0</v>
      </c>
      <c r="Q579" s="26"/>
    </row>
    <row r="580" spans="1:17">
      <c r="A580" s="37" t="str">
        <f>IF(Table1[[#This Row],[Tipo de Servicio]]="","",Caratula!$D$15)</f>
        <v/>
      </c>
      <c r="B580" s="37" t="str">
        <f>IF(Table1[[#This Row],[Tipo de Servicio]]="","",Caratula!$D$16)</f>
        <v/>
      </c>
      <c r="C580" s="24" t="str">
        <f>IF(Table1[[#This Row],[Tipo de Servicio]]="","",Caratula!$D$17)</f>
        <v/>
      </c>
      <c r="D580" s="38" t="str">
        <f>IF(ISBLANK(Table1[[#This Row],[Tipo de Servicio]]),"",Caratula!$D$16)</f>
        <v/>
      </c>
      <c r="F580" t="str">
        <f>_xlfn.XLOOKUP(Table1[[#This Row],[SelGZ]]&amp;Table1[[#This Row],[Tipo de Servicio]],CatPEP!A:A,CatPEP!C:C,"")</f>
        <v/>
      </c>
      <c r="G580" t="str">
        <f>_xlfn.XLOOKUP(Table1[[#This Row],[PEP]],CatPEP!C:C,CatPEP!D:D,"")</f>
        <v/>
      </c>
      <c r="O580" s="53">
        <f>SUMIF('Registro Refacciones'!B:B, I580, 'Registro Refacciones'!I:I)</f>
        <v>0</v>
      </c>
      <c r="P580" s="26">
        <f>Table1[[#This Row],[Costo Servicio]]+Table1[[#This Row],[Refacciones]]</f>
        <v>0</v>
      </c>
      <c r="Q580" s="26"/>
    </row>
    <row r="581" spans="1:17">
      <c r="A581" s="37" t="str">
        <f>IF(Table1[[#This Row],[Tipo de Servicio]]="","",Caratula!$D$15)</f>
        <v/>
      </c>
      <c r="B581" s="37" t="str">
        <f>IF(Table1[[#This Row],[Tipo de Servicio]]="","",Caratula!$D$16)</f>
        <v/>
      </c>
      <c r="C581" s="24" t="str">
        <f>IF(Table1[[#This Row],[Tipo de Servicio]]="","",Caratula!$D$17)</f>
        <v/>
      </c>
      <c r="D581" s="38" t="str">
        <f>IF(ISBLANK(Table1[[#This Row],[Tipo de Servicio]]),"",Caratula!$D$16)</f>
        <v/>
      </c>
      <c r="F581" t="str">
        <f>_xlfn.XLOOKUP(Table1[[#This Row],[SelGZ]]&amp;Table1[[#This Row],[Tipo de Servicio]],CatPEP!A:A,CatPEP!C:C,"")</f>
        <v/>
      </c>
      <c r="G581" t="str">
        <f>_xlfn.XLOOKUP(Table1[[#This Row],[PEP]],CatPEP!C:C,CatPEP!D:D,"")</f>
        <v/>
      </c>
      <c r="O581" s="53">
        <f>SUMIF('Registro Refacciones'!B:B, I581, 'Registro Refacciones'!I:I)</f>
        <v>0</v>
      </c>
      <c r="P581" s="26">
        <f>Table1[[#This Row],[Costo Servicio]]+Table1[[#This Row],[Refacciones]]</f>
        <v>0</v>
      </c>
      <c r="Q581" s="26"/>
    </row>
    <row r="582" spans="1:17">
      <c r="A582" s="37" t="str">
        <f>IF(Table1[[#This Row],[Tipo de Servicio]]="","",Caratula!$D$15)</f>
        <v/>
      </c>
      <c r="B582" s="37" t="str">
        <f>IF(Table1[[#This Row],[Tipo de Servicio]]="","",Caratula!$D$16)</f>
        <v/>
      </c>
      <c r="C582" s="24" t="str">
        <f>IF(Table1[[#This Row],[Tipo de Servicio]]="","",Caratula!$D$17)</f>
        <v/>
      </c>
      <c r="D582" s="38" t="str">
        <f>IF(ISBLANK(Table1[[#This Row],[Tipo de Servicio]]),"",Caratula!$D$16)</f>
        <v/>
      </c>
      <c r="F582" t="str">
        <f>_xlfn.XLOOKUP(Table1[[#This Row],[SelGZ]]&amp;Table1[[#This Row],[Tipo de Servicio]],CatPEP!A:A,CatPEP!C:C,"")</f>
        <v/>
      </c>
      <c r="G582" t="str">
        <f>_xlfn.XLOOKUP(Table1[[#This Row],[PEP]],CatPEP!C:C,CatPEP!D:D,"")</f>
        <v/>
      </c>
      <c r="O582" s="53">
        <f>SUMIF('Registro Refacciones'!B:B, I582, 'Registro Refacciones'!I:I)</f>
        <v>0</v>
      </c>
      <c r="P582" s="26">
        <f>Table1[[#This Row],[Costo Servicio]]+Table1[[#This Row],[Refacciones]]</f>
        <v>0</v>
      </c>
      <c r="Q582" s="26"/>
    </row>
    <row r="583" spans="1:17">
      <c r="A583" s="37" t="str">
        <f>IF(Table1[[#This Row],[Tipo de Servicio]]="","",Caratula!$D$15)</f>
        <v/>
      </c>
      <c r="B583" s="37" t="str">
        <f>IF(Table1[[#This Row],[Tipo de Servicio]]="","",Caratula!$D$16)</f>
        <v/>
      </c>
      <c r="C583" s="24" t="str">
        <f>IF(Table1[[#This Row],[Tipo de Servicio]]="","",Caratula!$D$17)</f>
        <v/>
      </c>
      <c r="D583" s="38" t="str">
        <f>IF(ISBLANK(Table1[[#This Row],[Tipo de Servicio]]),"",Caratula!$D$16)</f>
        <v/>
      </c>
      <c r="F583" t="str">
        <f>_xlfn.XLOOKUP(Table1[[#This Row],[SelGZ]]&amp;Table1[[#This Row],[Tipo de Servicio]],CatPEP!A:A,CatPEP!C:C,"")</f>
        <v/>
      </c>
      <c r="G583" t="str">
        <f>_xlfn.XLOOKUP(Table1[[#This Row],[PEP]],CatPEP!C:C,CatPEP!D:D,"")</f>
        <v/>
      </c>
      <c r="O583" s="53">
        <f>SUMIF('Registro Refacciones'!B:B, I583, 'Registro Refacciones'!I:I)</f>
        <v>0</v>
      </c>
      <c r="P583" s="26">
        <f>Table1[[#This Row],[Costo Servicio]]+Table1[[#This Row],[Refacciones]]</f>
        <v>0</v>
      </c>
      <c r="Q583" s="26"/>
    </row>
    <row r="584" spans="1:17">
      <c r="A584" s="37" t="str">
        <f>IF(Table1[[#This Row],[Tipo de Servicio]]="","",Caratula!$D$15)</f>
        <v/>
      </c>
      <c r="B584" s="37" t="str">
        <f>IF(Table1[[#This Row],[Tipo de Servicio]]="","",Caratula!$D$16)</f>
        <v/>
      </c>
      <c r="C584" s="24" t="str">
        <f>IF(Table1[[#This Row],[Tipo de Servicio]]="","",Caratula!$D$17)</f>
        <v/>
      </c>
      <c r="D584" s="38" t="str">
        <f>IF(ISBLANK(Table1[[#This Row],[Tipo de Servicio]]),"",Caratula!$D$16)</f>
        <v/>
      </c>
      <c r="F584" t="str">
        <f>_xlfn.XLOOKUP(Table1[[#This Row],[SelGZ]]&amp;Table1[[#This Row],[Tipo de Servicio]],CatPEP!A:A,CatPEP!C:C,"")</f>
        <v/>
      </c>
      <c r="G584" t="str">
        <f>_xlfn.XLOOKUP(Table1[[#This Row],[PEP]],CatPEP!C:C,CatPEP!D:D,"")</f>
        <v/>
      </c>
      <c r="O584" s="53">
        <f>SUMIF('Registro Refacciones'!B:B, I584, 'Registro Refacciones'!I:I)</f>
        <v>0</v>
      </c>
      <c r="P584" s="26">
        <f>Table1[[#This Row],[Costo Servicio]]+Table1[[#This Row],[Refacciones]]</f>
        <v>0</v>
      </c>
      <c r="Q584" s="26"/>
    </row>
    <row r="585" spans="1:17">
      <c r="A585" s="37" t="str">
        <f>IF(Table1[[#This Row],[Tipo de Servicio]]="","",Caratula!$D$15)</f>
        <v/>
      </c>
      <c r="B585" s="37" t="str">
        <f>IF(Table1[[#This Row],[Tipo de Servicio]]="","",Caratula!$D$16)</f>
        <v/>
      </c>
      <c r="C585" s="24" t="str">
        <f>IF(Table1[[#This Row],[Tipo de Servicio]]="","",Caratula!$D$17)</f>
        <v/>
      </c>
      <c r="D585" s="38" t="str">
        <f>IF(ISBLANK(Table1[[#This Row],[Tipo de Servicio]]),"",Caratula!$D$16)</f>
        <v/>
      </c>
      <c r="F585" t="str">
        <f>_xlfn.XLOOKUP(Table1[[#This Row],[SelGZ]]&amp;Table1[[#This Row],[Tipo de Servicio]],CatPEP!A:A,CatPEP!C:C,"")</f>
        <v/>
      </c>
      <c r="G585" t="str">
        <f>_xlfn.XLOOKUP(Table1[[#This Row],[PEP]],CatPEP!C:C,CatPEP!D:D,"")</f>
        <v/>
      </c>
      <c r="O585" s="53">
        <f>SUMIF('Registro Refacciones'!B:B, I585, 'Registro Refacciones'!I:I)</f>
        <v>0</v>
      </c>
      <c r="P585" s="26">
        <f>Table1[[#This Row],[Costo Servicio]]+Table1[[#This Row],[Refacciones]]</f>
        <v>0</v>
      </c>
      <c r="Q585" s="26"/>
    </row>
    <row r="586" spans="1:17">
      <c r="A586" s="37" t="str">
        <f>IF(Table1[[#This Row],[Tipo de Servicio]]="","",Caratula!$D$15)</f>
        <v/>
      </c>
      <c r="B586" s="37" t="str">
        <f>IF(Table1[[#This Row],[Tipo de Servicio]]="","",Caratula!$D$16)</f>
        <v/>
      </c>
      <c r="C586" s="24" t="str">
        <f>IF(Table1[[#This Row],[Tipo de Servicio]]="","",Caratula!$D$17)</f>
        <v/>
      </c>
      <c r="D586" s="38" t="str">
        <f>IF(ISBLANK(Table1[[#This Row],[Tipo de Servicio]]),"",Caratula!$D$16)</f>
        <v/>
      </c>
      <c r="F586" t="str">
        <f>_xlfn.XLOOKUP(Table1[[#This Row],[SelGZ]]&amp;Table1[[#This Row],[Tipo de Servicio]],CatPEP!A:A,CatPEP!C:C,"")</f>
        <v/>
      </c>
      <c r="G586" t="str">
        <f>_xlfn.XLOOKUP(Table1[[#This Row],[PEP]],CatPEP!C:C,CatPEP!D:D,"")</f>
        <v/>
      </c>
      <c r="O586" s="53">
        <f>SUMIF('Registro Refacciones'!B:B, I586, 'Registro Refacciones'!I:I)</f>
        <v>0</v>
      </c>
      <c r="P586" s="26">
        <f>Table1[[#This Row],[Costo Servicio]]+Table1[[#This Row],[Refacciones]]</f>
        <v>0</v>
      </c>
      <c r="Q586" s="26"/>
    </row>
    <row r="587" spans="1:17">
      <c r="A587" s="37" t="str">
        <f>IF(Table1[[#This Row],[Tipo de Servicio]]="","",Caratula!$D$15)</f>
        <v/>
      </c>
      <c r="B587" s="37" t="str">
        <f>IF(Table1[[#This Row],[Tipo de Servicio]]="","",Caratula!$D$16)</f>
        <v/>
      </c>
      <c r="C587" s="24" t="str">
        <f>IF(Table1[[#This Row],[Tipo de Servicio]]="","",Caratula!$D$17)</f>
        <v/>
      </c>
      <c r="D587" s="38" t="str">
        <f>IF(ISBLANK(Table1[[#This Row],[Tipo de Servicio]]),"",Caratula!$D$16)</f>
        <v/>
      </c>
      <c r="F587" t="str">
        <f>_xlfn.XLOOKUP(Table1[[#This Row],[SelGZ]]&amp;Table1[[#This Row],[Tipo de Servicio]],CatPEP!A:A,CatPEP!C:C,"")</f>
        <v/>
      </c>
      <c r="G587" t="str">
        <f>_xlfn.XLOOKUP(Table1[[#This Row],[PEP]],CatPEP!C:C,CatPEP!D:D,"")</f>
        <v/>
      </c>
      <c r="O587" s="53">
        <f>SUMIF('Registro Refacciones'!B:B, I587, 'Registro Refacciones'!I:I)</f>
        <v>0</v>
      </c>
      <c r="P587" s="26">
        <f>Table1[[#This Row],[Costo Servicio]]+Table1[[#This Row],[Refacciones]]</f>
        <v>0</v>
      </c>
      <c r="Q587" s="26"/>
    </row>
    <row r="588" spans="1:17">
      <c r="A588" s="37" t="str">
        <f>IF(Table1[[#This Row],[Tipo de Servicio]]="","",Caratula!$D$15)</f>
        <v/>
      </c>
      <c r="B588" s="37" t="str">
        <f>IF(Table1[[#This Row],[Tipo de Servicio]]="","",Caratula!$D$16)</f>
        <v/>
      </c>
      <c r="C588" s="24" t="str">
        <f>IF(Table1[[#This Row],[Tipo de Servicio]]="","",Caratula!$D$17)</f>
        <v/>
      </c>
      <c r="D588" s="38" t="str">
        <f>IF(ISBLANK(Table1[[#This Row],[Tipo de Servicio]]),"",Caratula!$D$16)</f>
        <v/>
      </c>
      <c r="F588" t="str">
        <f>_xlfn.XLOOKUP(Table1[[#This Row],[SelGZ]]&amp;Table1[[#This Row],[Tipo de Servicio]],CatPEP!A:A,CatPEP!C:C,"")</f>
        <v/>
      </c>
      <c r="G588" t="str">
        <f>_xlfn.XLOOKUP(Table1[[#This Row],[PEP]],CatPEP!C:C,CatPEP!D:D,"")</f>
        <v/>
      </c>
      <c r="O588" s="53">
        <f>SUMIF('Registro Refacciones'!B:B, I588, 'Registro Refacciones'!I:I)</f>
        <v>0</v>
      </c>
      <c r="P588" s="26">
        <f>Table1[[#This Row],[Costo Servicio]]+Table1[[#This Row],[Refacciones]]</f>
        <v>0</v>
      </c>
      <c r="Q588" s="26"/>
    </row>
    <row r="589" spans="1:17">
      <c r="A589" s="37" t="str">
        <f>IF(Table1[[#This Row],[Tipo de Servicio]]="","",Caratula!$D$15)</f>
        <v/>
      </c>
      <c r="B589" s="37" t="str">
        <f>IF(Table1[[#This Row],[Tipo de Servicio]]="","",Caratula!$D$16)</f>
        <v/>
      </c>
      <c r="C589" s="24" t="str">
        <f>IF(Table1[[#This Row],[Tipo de Servicio]]="","",Caratula!$D$17)</f>
        <v/>
      </c>
      <c r="D589" s="38" t="str">
        <f>IF(ISBLANK(Table1[[#This Row],[Tipo de Servicio]]),"",Caratula!$D$16)</f>
        <v/>
      </c>
      <c r="F589" t="str">
        <f>_xlfn.XLOOKUP(Table1[[#This Row],[SelGZ]]&amp;Table1[[#This Row],[Tipo de Servicio]],CatPEP!A:A,CatPEP!C:C,"")</f>
        <v/>
      </c>
      <c r="G589" t="str">
        <f>_xlfn.XLOOKUP(Table1[[#This Row],[PEP]],CatPEP!C:C,CatPEP!D:D,"")</f>
        <v/>
      </c>
      <c r="O589" s="53">
        <f>SUMIF('Registro Refacciones'!B:B, I589, 'Registro Refacciones'!I:I)</f>
        <v>0</v>
      </c>
      <c r="P589" s="26">
        <f>Table1[[#This Row],[Costo Servicio]]+Table1[[#This Row],[Refacciones]]</f>
        <v>0</v>
      </c>
      <c r="Q589" s="26"/>
    </row>
    <row r="590" spans="1:17">
      <c r="A590" s="37" t="str">
        <f>IF(Table1[[#This Row],[Tipo de Servicio]]="","",Caratula!$D$15)</f>
        <v/>
      </c>
      <c r="B590" s="37" t="str">
        <f>IF(Table1[[#This Row],[Tipo de Servicio]]="","",Caratula!$D$16)</f>
        <v/>
      </c>
      <c r="C590" s="24" t="str">
        <f>IF(Table1[[#This Row],[Tipo de Servicio]]="","",Caratula!$D$17)</f>
        <v/>
      </c>
      <c r="D590" s="38" t="str">
        <f>IF(ISBLANK(Table1[[#This Row],[Tipo de Servicio]]),"",Caratula!$D$16)</f>
        <v/>
      </c>
      <c r="F590" t="str">
        <f>_xlfn.XLOOKUP(Table1[[#This Row],[SelGZ]]&amp;Table1[[#This Row],[Tipo de Servicio]],CatPEP!A:A,CatPEP!C:C,"")</f>
        <v/>
      </c>
      <c r="G590" t="str">
        <f>_xlfn.XLOOKUP(Table1[[#This Row],[PEP]],CatPEP!C:C,CatPEP!D:D,"")</f>
        <v/>
      </c>
      <c r="O590" s="53">
        <f>SUMIF('Registro Refacciones'!B:B, I590, 'Registro Refacciones'!I:I)</f>
        <v>0</v>
      </c>
      <c r="P590" s="26">
        <f>Table1[[#This Row],[Costo Servicio]]+Table1[[#This Row],[Refacciones]]</f>
        <v>0</v>
      </c>
      <c r="Q590" s="26"/>
    </row>
    <row r="591" spans="1:17">
      <c r="A591" s="37" t="str">
        <f>IF(Table1[[#This Row],[Tipo de Servicio]]="","",Caratula!$D$15)</f>
        <v/>
      </c>
      <c r="B591" s="37" t="str">
        <f>IF(Table1[[#This Row],[Tipo de Servicio]]="","",Caratula!$D$16)</f>
        <v/>
      </c>
      <c r="C591" s="24" t="str">
        <f>IF(Table1[[#This Row],[Tipo de Servicio]]="","",Caratula!$D$17)</f>
        <v/>
      </c>
      <c r="D591" s="38" t="str">
        <f>IF(ISBLANK(Table1[[#This Row],[Tipo de Servicio]]),"",Caratula!$D$16)</f>
        <v/>
      </c>
      <c r="F591" t="str">
        <f>_xlfn.XLOOKUP(Table1[[#This Row],[SelGZ]]&amp;Table1[[#This Row],[Tipo de Servicio]],CatPEP!A:A,CatPEP!C:C,"")</f>
        <v/>
      </c>
      <c r="G591" t="str">
        <f>_xlfn.XLOOKUP(Table1[[#This Row],[PEP]],CatPEP!C:C,CatPEP!D:D,"")</f>
        <v/>
      </c>
      <c r="O591" s="53">
        <f>SUMIF('Registro Refacciones'!B:B, I591, 'Registro Refacciones'!I:I)</f>
        <v>0</v>
      </c>
      <c r="P591" s="26">
        <f>Table1[[#This Row],[Costo Servicio]]+Table1[[#This Row],[Refacciones]]</f>
        <v>0</v>
      </c>
      <c r="Q591" s="26"/>
    </row>
    <row r="592" spans="1:17">
      <c r="A592" s="37" t="str">
        <f>IF(Table1[[#This Row],[Tipo de Servicio]]="","",Caratula!$D$15)</f>
        <v/>
      </c>
      <c r="B592" s="37" t="str">
        <f>IF(Table1[[#This Row],[Tipo de Servicio]]="","",Caratula!$D$16)</f>
        <v/>
      </c>
      <c r="C592" s="24" t="str">
        <f>IF(Table1[[#This Row],[Tipo de Servicio]]="","",Caratula!$D$17)</f>
        <v/>
      </c>
      <c r="D592" s="38" t="str">
        <f>IF(ISBLANK(Table1[[#This Row],[Tipo de Servicio]]),"",Caratula!$D$16)</f>
        <v/>
      </c>
      <c r="F592" t="str">
        <f>_xlfn.XLOOKUP(Table1[[#This Row],[SelGZ]]&amp;Table1[[#This Row],[Tipo de Servicio]],CatPEP!A:A,CatPEP!C:C,"")</f>
        <v/>
      </c>
      <c r="G592" t="str">
        <f>_xlfn.XLOOKUP(Table1[[#This Row],[PEP]],CatPEP!C:C,CatPEP!D:D,"")</f>
        <v/>
      </c>
      <c r="O592" s="53">
        <f>SUMIF('Registro Refacciones'!B:B, I592, 'Registro Refacciones'!I:I)</f>
        <v>0</v>
      </c>
      <c r="P592" s="26">
        <f>Table1[[#This Row],[Costo Servicio]]+Table1[[#This Row],[Refacciones]]</f>
        <v>0</v>
      </c>
      <c r="Q592" s="26"/>
    </row>
    <row r="593" spans="1:17">
      <c r="A593" s="37" t="str">
        <f>IF(Table1[[#This Row],[Tipo de Servicio]]="","",Caratula!$D$15)</f>
        <v/>
      </c>
      <c r="B593" s="37" t="str">
        <f>IF(Table1[[#This Row],[Tipo de Servicio]]="","",Caratula!$D$16)</f>
        <v/>
      </c>
      <c r="C593" s="24" t="str">
        <f>IF(Table1[[#This Row],[Tipo de Servicio]]="","",Caratula!$D$17)</f>
        <v/>
      </c>
      <c r="D593" s="38" t="str">
        <f>IF(ISBLANK(Table1[[#This Row],[Tipo de Servicio]]),"",Caratula!$D$16)</f>
        <v/>
      </c>
      <c r="F593" t="str">
        <f>_xlfn.XLOOKUP(Table1[[#This Row],[SelGZ]]&amp;Table1[[#This Row],[Tipo de Servicio]],CatPEP!A:A,CatPEP!C:C,"")</f>
        <v/>
      </c>
      <c r="G593" t="str">
        <f>_xlfn.XLOOKUP(Table1[[#This Row],[PEP]],CatPEP!C:C,CatPEP!D:D,"")</f>
        <v/>
      </c>
      <c r="O593" s="53">
        <f>SUMIF('Registro Refacciones'!B:B, I593, 'Registro Refacciones'!I:I)</f>
        <v>0</v>
      </c>
      <c r="P593" s="26">
        <f>Table1[[#This Row],[Costo Servicio]]+Table1[[#This Row],[Refacciones]]</f>
        <v>0</v>
      </c>
      <c r="Q593" s="26"/>
    </row>
    <row r="594" spans="1:17">
      <c r="A594" s="37" t="str">
        <f>IF(Table1[[#This Row],[Tipo de Servicio]]="","",Caratula!$D$15)</f>
        <v/>
      </c>
      <c r="B594" s="37" t="str">
        <f>IF(Table1[[#This Row],[Tipo de Servicio]]="","",Caratula!$D$16)</f>
        <v/>
      </c>
      <c r="C594" s="24" t="str">
        <f>IF(Table1[[#This Row],[Tipo de Servicio]]="","",Caratula!$D$17)</f>
        <v/>
      </c>
      <c r="D594" s="38" t="str">
        <f>IF(ISBLANK(Table1[[#This Row],[Tipo de Servicio]]),"",Caratula!$D$16)</f>
        <v/>
      </c>
      <c r="F594" t="str">
        <f>_xlfn.XLOOKUP(Table1[[#This Row],[SelGZ]]&amp;Table1[[#This Row],[Tipo de Servicio]],CatPEP!A:A,CatPEP!C:C,"")</f>
        <v/>
      </c>
      <c r="G594" t="str">
        <f>_xlfn.XLOOKUP(Table1[[#This Row],[PEP]],CatPEP!C:C,CatPEP!D:D,"")</f>
        <v/>
      </c>
      <c r="O594" s="53">
        <f>SUMIF('Registro Refacciones'!B:B, I594, 'Registro Refacciones'!I:I)</f>
        <v>0</v>
      </c>
      <c r="P594" s="26">
        <f>Table1[[#This Row],[Costo Servicio]]+Table1[[#This Row],[Refacciones]]</f>
        <v>0</v>
      </c>
      <c r="Q594" s="26"/>
    </row>
    <row r="595" spans="1:17">
      <c r="A595" s="37" t="str">
        <f>IF(Table1[[#This Row],[Tipo de Servicio]]="","",Caratula!$D$15)</f>
        <v/>
      </c>
      <c r="B595" s="37" t="str">
        <f>IF(Table1[[#This Row],[Tipo de Servicio]]="","",Caratula!$D$16)</f>
        <v/>
      </c>
      <c r="C595" s="24" t="str">
        <f>IF(Table1[[#This Row],[Tipo de Servicio]]="","",Caratula!$D$17)</f>
        <v/>
      </c>
      <c r="D595" s="38" t="str">
        <f>IF(ISBLANK(Table1[[#This Row],[Tipo de Servicio]]),"",Caratula!$D$16)</f>
        <v/>
      </c>
      <c r="F595" t="str">
        <f>_xlfn.XLOOKUP(Table1[[#This Row],[SelGZ]]&amp;Table1[[#This Row],[Tipo de Servicio]],CatPEP!A:A,CatPEP!C:C,"")</f>
        <v/>
      </c>
      <c r="G595" t="str">
        <f>_xlfn.XLOOKUP(Table1[[#This Row],[PEP]],CatPEP!C:C,CatPEP!D:D,"")</f>
        <v/>
      </c>
      <c r="O595" s="53">
        <f>SUMIF('Registro Refacciones'!B:B, I595, 'Registro Refacciones'!I:I)</f>
        <v>0</v>
      </c>
      <c r="P595" s="26">
        <f>Table1[[#This Row],[Costo Servicio]]+Table1[[#This Row],[Refacciones]]</f>
        <v>0</v>
      </c>
      <c r="Q595" s="26"/>
    </row>
    <row r="596" spans="1:17">
      <c r="A596" s="37" t="str">
        <f>IF(Table1[[#This Row],[Tipo de Servicio]]="","",Caratula!$D$15)</f>
        <v/>
      </c>
      <c r="B596" s="37" t="str">
        <f>IF(Table1[[#This Row],[Tipo de Servicio]]="","",Caratula!$D$16)</f>
        <v/>
      </c>
      <c r="C596" s="24" t="str">
        <f>IF(Table1[[#This Row],[Tipo de Servicio]]="","",Caratula!$D$17)</f>
        <v/>
      </c>
      <c r="D596" s="38" t="str">
        <f>IF(ISBLANK(Table1[[#This Row],[Tipo de Servicio]]),"",Caratula!$D$16)</f>
        <v/>
      </c>
      <c r="F596" t="str">
        <f>_xlfn.XLOOKUP(Table1[[#This Row],[SelGZ]]&amp;Table1[[#This Row],[Tipo de Servicio]],CatPEP!A:A,CatPEP!C:C,"")</f>
        <v/>
      </c>
      <c r="G596" t="str">
        <f>_xlfn.XLOOKUP(Table1[[#This Row],[PEP]],CatPEP!C:C,CatPEP!D:D,"")</f>
        <v/>
      </c>
      <c r="O596" s="53">
        <f>SUMIF('Registro Refacciones'!B:B, I596, 'Registro Refacciones'!I:I)</f>
        <v>0</v>
      </c>
      <c r="P596" s="26">
        <f>Table1[[#This Row],[Costo Servicio]]+Table1[[#This Row],[Refacciones]]</f>
        <v>0</v>
      </c>
      <c r="Q596" s="26"/>
    </row>
    <row r="597" spans="1:17">
      <c r="A597" s="37" t="str">
        <f>IF(Table1[[#This Row],[Tipo de Servicio]]="","",Caratula!$D$15)</f>
        <v/>
      </c>
      <c r="B597" s="37" t="str">
        <f>IF(Table1[[#This Row],[Tipo de Servicio]]="","",Caratula!$D$16)</f>
        <v/>
      </c>
      <c r="C597" s="24" t="str">
        <f>IF(Table1[[#This Row],[Tipo de Servicio]]="","",Caratula!$D$17)</f>
        <v/>
      </c>
      <c r="D597" s="38" t="str">
        <f>IF(ISBLANK(Table1[[#This Row],[Tipo de Servicio]]),"",Caratula!$D$16)</f>
        <v/>
      </c>
      <c r="F597" t="str">
        <f>_xlfn.XLOOKUP(Table1[[#This Row],[SelGZ]]&amp;Table1[[#This Row],[Tipo de Servicio]],CatPEP!A:A,CatPEP!C:C,"")</f>
        <v/>
      </c>
      <c r="G597" t="str">
        <f>_xlfn.XLOOKUP(Table1[[#This Row],[PEP]],CatPEP!C:C,CatPEP!D:D,"")</f>
        <v/>
      </c>
      <c r="O597" s="53">
        <f>SUMIF('Registro Refacciones'!B:B, I597, 'Registro Refacciones'!I:I)</f>
        <v>0</v>
      </c>
      <c r="P597" s="26">
        <f>Table1[[#This Row],[Costo Servicio]]+Table1[[#This Row],[Refacciones]]</f>
        <v>0</v>
      </c>
      <c r="Q597" s="26"/>
    </row>
    <row r="598" spans="1:17">
      <c r="A598" s="37" t="str">
        <f>IF(Table1[[#This Row],[Tipo de Servicio]]="","",Caratula!$D$15)</f>
        <v/>
      </c>
      <c r="B598" s="37" t="str">
        <f>IF(Table1[[#This Row],[Tipo de Servicio]]="","",Caratula!$D$16)</f>
        <v/>
      </c>
      <c r="C598" s="24" t="str">
        <f>IF(Table1[[#This Row],[Tipo de Servicio]]="","",Caratula!$D$17)</f>
        <v/>
      </c>
      <c r="D598" s="38" t="str">
        <f>IF(ISBLANK(Table1[[#This Row],[Tipo de Servicio]]),"",Caratula!$D$16)</f>
        <v/>
      </c>
      <c r="F598" t="str">
        <f>_xlfn.XLOOKUP(Table1[[#This Row],[SelGZ]]&amp;Table1[[#This Row],[Tipo de Servicio]],CatPEP!A:A,CatPEP!C:C,"")</f>
        <v/>
      </c>
      <c r="G598" t="str">
        <f>_xlfn.XLOOKUP(Table1[[#This Row],[PEP]],CatPEP!C:C,CatPEP!D:D,"")</f>
        <v/>
      </c>
      <c r="O598" s="53">
        <f>SUMIF('Registro Refacciones'!B:B, I598, 'Registro Refacciones'!I:I)</f>
        <v>0</v>
      </c>
      <c r="P598" s="26">
        <f>Table1[[#This Row],[Costo Servicio]]+Table1[[#This Row],[Refacciones]]</f>
        <v>0</v>
      </c>
      <c r="Q598" s="26"/>
    </row>
    <row r="599" spans="1:17">
      <c r="A599" s="37" t="str">
        <f>IF(Table1[[#This Row],[Tipo de Servicio]]="","",Caratula!$D$15)</f>
        <v/>
      </c>
      <c r="B599" s="37" t="str">
        <f>IF(Table1[[#This Row],[Tipo de Servicio]]="","",Caratula!$D$16)</f>
        <v/>
      </c>
      <c r="C599" s="24" t="str">
        <f>IF(Table1[[#This Row],[Tipo de Servicio]]="","",Caratula!$D$17)</f>
        <v/>
      </c>
      <c r="D599" s="38" t="str">
        <f>IF(ISBLANK(Table1[[#This Row],[Tipo de Servicio]]),"",Caratula!$D$16)</f>
        <v/>
      </c>
      <c r="F599" t="str">
        <f>_xlfn.XLOOKUP(Table1[[#This Row],[SelGZ]]&amp;Table1[[#This Row],[Tipo de Servicio]],CatPEP!A:A,CatPEP!C:C,"")</f>
        <v/>
      </c>
      <c r="G599" t="str">
        <f>_xlfn.XLOOKUP(Table1[[#This Row],[PEP]],CatPEP!C:C,CatPEP!D:D,"")</f>
        <v/>
      </c>
      <c r="O599" s="53">
        <f>SUMIF('Registro Refacciones'!B:B, I599, 'Registro Refacciones'!I:I)</f>
        <v>0</v>
      </c>
      <c r="P599" s="26">
        <f>Table1[[#This Row],[Costo Servicio]]+Table1[[#This Row],[Refacciones]]</f>
        <v>0</v>
      </c>
      <c r="Q599" s="26"/>
    </row>
    <row r="600" spans="1:17">
      <c r="A600" s="37" t="str">
        <f>IF(Table1[[#This Row],[Tipo de Servicio]]="","",Caratula!$D$15)</f>
        <v/>
      </c>
      <c r="B600" s="37" t="str">
        <f>IF(Table1[[#This Row],[Tipo de Servicio]]="","",Caratula!$D$16)</f>
        <v/>
      </c>
      <c r="C600" s="24" t="str">
        <f>IF(Table1[[#This Row],[Tipo de Servicio]]="","",Caratula!$D$17)</f>
        <v/>
      </c>
      <c r="D600" s="38" t="str">
        <f>IF(ISBLANK(Table1[[#This Row],[Tipo de Servicio]]),"",Caratula!$D$16)</f>
        <v/>
      </c>
      <c r="F600" t="str">
        <f>_xlfn.XLOOKUP(Table1[[#This Row],[SelGZ]]&amp;Table1[[#This Row],[Tipo de Servicio]],CatPEP!A:A,CatPEP!C:C,"")</f>
        <v/>
      </c>
      <c r="G600" t="str">
        <f>_xlfn.XLOOKUP(Table1[[#This Row],[PEP]],CatPEP!C:C,CatPEP!D:D,"")</f>
        <v/>
      </c>
      <c r="O600" s="53">
        <f>SUMIF('Registro Refacciones'!B:B, I600, 'Registro Refacciones'!I:I)</f>
        <v>0</v>
      </c>
      <c r="P600" s="26">
        <f>Table1[[#This Row],[Costo Servicio]]+Table1[[#This Row],[Refacciones]]</f>
        <v>0</v>
      </c>
      <c r="Q600" s="26"/>
    </row>
    <row r="601" spans="1:17">
      <c r="A601" s="37" t="str">
        <f>IF(Table1[[#This Row],[Tipo de Servicio]]="","",Caratula!$D$15)</f>
        <v/>
      </c>
      <c r="B601" s="37" t="str">
        <f>IF(Table1[[#This Row],[Tipo de Servicio]]="","",Caratula!$D$16)</f>
        <v/>
      </c>
      <c r="C601" s="24" t="str">
        <f>IF(Table1[[#This Row],[Tipo de Servicio]]="","",Caratula!$D$17)</f>
        <v/>
      </c>
      <c r="D601" s="38" t="str">
        <f>IF(ISBLANK(Table1[[#This Row],[Tipo de Servicio]]),"",Caratula!$D$16)</f>
        <v/>
      </c>
      <c r="F601" t="str">
        <f>_xlfn.XLOOKUP(Table1[[#This Row],[SelGZ]]&amp;Table1[[#This Row],[Tipo de Servicio]],CatPEP!A:A,CatPEP!C:C,"")</f>
        <v/>
      </c>
      <c r="G601" t="str">
        <f>_xlfn.XLOOKUP(Table1[[#This Row],[PEP]],CatPEP!C:C,CatPEP!D:D,"")</f>
        <v/>
      </c>
      <c r="O601" s="53">
        <f>SUMIF('Registro Refacciones'!B:B, I601, 'Registro Refacciones'!I:I)</f>
        <v>0</v>
      </c>
      <c r="P601" s="26">
        <f>Table1[[#This Row],[Costo Servicio]]+Table1[[#This Row],[Refacciones]]</f>
        <v>0</v>
      </c>
      <c r="Q601" s="26"/>
    </row>
    <row r="602" spans="1:17">
      <c r="A602" s="37" t="str">
        <f>IF(Table1[[#This Row],[Tipo de Servicio]]="","",Caratula!$D$15)</f>
        <v/>
      </c>
      <c r="B602" s="37" t="str">
        <f>IF(Table1[[#This Row],[Tipo de Servicio]]="","",Caratula!$D$16)</f>
        <v/>
      </c>
      <c r="C602" s="24" t="str">
        <f>IF(Table1[[#This Row],[Tipo de Servicio]]="","",Caratula!$D$17)</f>
        <v/>
      </c>
      <c r="D602" s="38" t="str">
        <f>IF(ISBLANK(Table1[[#This Row],[Tipo de Servicio]]),"",Caratula!$D$16)</f>
        <v/>
      </c>
      <c r="F602" t="str">
        <f>_xlfn.XLOOKUP(Table1[[#This Row],[SelGZ]]&amp;Table1[[#This Row],[Tipo de Servicio]],CatPEP!A:A,CatPEP!C:C,"")</f>
        <v/>
      </c>
      <c r="G602" t="str">
        <f>_xlfn.XLOOKUP(Table1[[#This Row],[PEP]],CatPEP!C:C,CatPEP!D:D,"")</f>
        <v/>
      </c>
      <c r="O602" s="53">
        <f>SUMIF('Registro Refacciones'!B:B, I602, 'Registro Refacciones'!I:I)</f>
        <v>0</v>
      </c>
      <c r="P602" s="26">
        <f>Table1[[#This Row],[Costo Servicio]]+Table1[[#This Row],[Refacciones]]</f>
        <v>0</v>
      </c>
      <c r="Q602" s="26"/>
    </row>
    <row r="603" spans="1:17">
      <c r="A603" s="37" t="str">
        <f>IF(Table1[[#This Row],[Tipo de Servicio]]="","",Caratula!$D$15)</f>
        <v/>
      </c>
      <c r="B603" s="37" t="str">
        <f>IF(Table1[[#This Row],[Tipo de Servicio]]="","",Caratula!$D$16)</f>
        <v/>
      </c>
      <c r="C603" s="24" t="str">
        <f>IF(Table1[[#This Row],[Tipo de Servicio]]="","",Caratula!$D$17)</f>
        <v/>
      </c>
      <c r="D603" s="38" t="str">
        <f>IF(ISBLANK(Table1[[#This Row],[Tipo de Servicio]]),"",Caratula!$D$16)</f>
        <v/>
      </c>
      <c r="F603" t="str">
        <f>_xlfn.XLOOKUP(Table1[[#This Row],[SelGZ]]&amp;Table1[[#This Row],[Tipo de Servicio]],CatPEP!A:A,CatPEP!C:C,"")</f>
        <v/>
      </c>
      <c r="G603" t="str">
        <f>_xlfn.XLOOKUP(Table1[[#This Row],[PEP]],CatPEP!C:C,CatPEP!D:D,"")</f>
        <v/>
      </c>
      <c r="O603" s="53">
        <f>SUMIF('Registro Refacciones'!B:B, I603, 'Registro Refacciones'!I:I)</f>
        <v>0</v>
      </c>
      <c r="P603" s="26">
        <f>Table1[[#This Row],[Costo Servicio]]+Table1[[#This Row],[Refacciones]]</f>
        <v>0</v>
      </c>
      <c r="Q603" s="26"/>
    </row>
    <row r="604" spans="1:17">
      <c r="A604" s="37" t="str">
        <f>IF(Table1[[#This Row],[Tipo de Servicio]]="","",Caratula!$D$15)</f>
        <v/>
      </c>
      <c r="B604" s="37" t="str">
        <f>IF(Table1[[#This Row],[Tipo de Servicio]]="","",Caratula!$D$16)</f>
        <v/>
      </c>
      <c r="C604" s="24" t="str">
        <f>IF(Table1[[#This Row],[Tipo de Servicio]]="","",Caratula!$D$17)</f>
        <v/>
      </c>
      <c r="D604" s="38" t="str">
        <f>IF(ISBLANK(Table1[[#This Row],[Tipo de Servicio]]),"",Caratula!$D$16)</f>
        <v/>
      </c>
      <c r="F604" t="str">
        <f>_xlfn.XLOOKUP(Table1[[#This Row],[SelGZ]]&amp;Table1[[#This Row],[Tipo de Servicio]],CatPEP!A:A,CatPEP!C:C,"")</f>
        <v/>
      </c>
      <c r="G604" t="str">
        <f>_xlfn.XLOOKUP(Table1[[#This Row],[PEP]],CatPEP!C:C,CatPEP!D:D,"")</f>
        <v/>
      </c>
      <c r="O604" s="53">
        <f>SUMIF('Registro Refacciones'!B:B, I604, 'Registro Refacciones'!I:I)</f>
        <v>0</v>
      </c>
      <c r="P604" s="26">
        <f>Table1[[#This Row],[Costo Servicio]]+Table1[[#This Row],[Refacciones]]</f>
        <v>0</v>
      </c>
      <c r="Q604" s="26"/>
    </row>
    <row r="605" spans="1:17">
      <c r="A605" s="37" t="str">
        <f>IF(Table1[[#This Row],[Tipo de Servicio]]="","",Caratula!$D$15)</f>
        <v/>
      </c>
      <c r="B605" s="37" t="str">
        <f>IF(Table1[[#This Row],[Tipo de Servicio]]="","",Caratula!$D$16)</f>
        <v/>
      </c>
      <c r="C605" s="24" t="str">
        <f>IF(Table1[[#This Row],[Tipo de Servicio]]="","",Caratula!$D$17)</f>
        <v/>
      </c>
      <c r="D605" s="38" t="str">
        <f>IF(ISBLANK(Table1[[#This Row],[Tipo de Servicio]]),"",Caratula!$D$16)</f>
        <v/>
      </c>
      <c r="F605" t="str">
        <f>_xlfn.XLOOKUP(Table1[[#This Row],[SelGZ]]&amp;Table1[[#This Row],[Tipo de Servicio]],CatPEP!A:A,CatPEP!C:C,"")</f>
        <v/>
      </c>
      <c r="G605" t="str">
        <f>_xlfn.XLOOKUP(Table1[[#This Row],[PEP]],CatPEP!C:C,CatPEP!D:D,"")</f>
        <v/>
      </c>
      <c r="O605" s="53">
        <f>SUMIF('Registro Refacciones'!B:B, I605, 'Registro Refacciones'!I:I)</f>
        <v>0</v>
      </c>
      <c r="P605" s="26">
        <f>Table1[[#This Row],[Costo Servicio]]+Table1[[#This Row],[Refacciones]]</f>
        <v>0</v>
      </c>
      <c r="Q605" s="26"/>
    </row>
    <row r="606" spans="1:17">
      <c r="A606" s="37" t="str">
        <f>IF(Table1[[#This Row],[Tipo de Servicio]]="","",Caratula!$D$15)</f>
        <v/>
      </c>
      <c r="B606" s="37" t="str">
        <f>IF(Table1[[#This Row],[Tipo de Servicio]]="","",Caratula!$D$16)</f>
        <v/>
      </c>
      <c r="C606" s="24" t="str">
        <f>IF(Table1[[#This Row],[Tipo de Servicio]]="","",Caratula!$D$17)</f>
        <v/>
      </c>
      <c r="D606" s="38" t="str">
        <f>IF(ISBLANK(Table1[[#This Row],[Tipo de Servicio]]),"",Caratula!$D$16)</f>
        <v/>
      </c>
      <c r="F606" t="str">
        <f>_xlfn.XLOOKUP(Table1[[#This Row],[SelGZ]]&amp;Table1[[#This Row],[Tipo de Servicio]],CatPEP!A:A,CatPEP!C:C,"")</f>
        <v/>
      </c>
      <c r="G606" t="str">
        <f>_xlfn.XLOOKUP(Table1[[#This Row],[PEP]],CatPEP!C:C,CatPEP!D:D,"")</f>
        <v/>
      </c>
      <c r="O606" s="53">
        <f>SUMIF('Registro Refacciones'!B:B, I606, 'Registro Refacciones'!I:I)</f>
        <v>0</v>
      </c>
      <c r="P606" s="26">
        <f>Table1[[#This Row],[Costo Servicio]]+Table1[[#This Row],[Refacciones]]</f>
        <v>0</v>
      </c>
      <c r="Q606" s="26"/>
    </row>
    <row r="607" spans="1:17">
      <c r="A607" s="37" t="str">
        <f>IF(Table1[[#This Row],[Tipo de Servicio]]="","",Caratula!$D$15)</f>
        <v/>
      </c>
      <c r="B607" s="37" t="str">
        <f>IF(Table1[[#This Row],[Tipo de Servicio]]="","",Caratula!$D$16)</f>
        <v/>
      </c>
      <c r="C607" s="24" t="str">
        <f>IF(Table1[[#This Row],[Tipo de Servicio]]="","",Caratula!$D$17)</f>
        <v/>
      </c>
      <c r="D607" s="38" t="str">
        <f>IF(ISBLANK(Table1[[#This Row],[Tipo de Servicio]]),"",Caratula!$D$16)</f>
        <v/>
      </c>
      <c r="F607" t="str">
        <f>_xlfn.XLOOKUP(Table1[[#This Row],[SelGZ]]&amp;Table1[[#This Row],[Tipo de Servicio]],CatPEP!A:A,CatPEP!C:C,"")</f>
        <v/>
      </c>
      <c r="G607" t="str">
        <f>_xlfn.XLOOKUP(Table1[[#This Row],[PEP]],CatPEP!C:C,CatPEP!D:D,"")</f>
        <v/>
      </c>
      <c r="O607" s="53">
        <f>SUMIF('Registro Refacciones'!B:B, I607, 'Registro Refacciones'!I:I)</f>
        <v>0</v>
      </c>
      <c r="P607" s="26">
        <f>Table1[[#This Row],[Costo Servicio]]+Table1[[#This Row],[Refacciones]]</f>
        <v>0</v>
      </c>
      <c r="Q607" s="26"/>
    </row>
    <row r="608" spans="1:17">
      <c r="A608" s="37" t="str">
        <f>IF(Table1[[#This Row],[Tipo de Servicio]]="","",Caratula!$D$15)</f>
        <v/>
      </c>
      <c r="B608" s="37" t="str">
        <f>IF(Table1[[#This Row],[Tipo de Servicio]]="","",Caratula!$D$16)</f>
        <v/>
      </c>
      <c r="C608" s="24" t="str">
        <f>IF(Table1[[#This Row],[Tipo de Servicio]]="","",Caratula!$D$17)</f>
        <v/>
      </c>
      <c r="D608" s="38" t="str">
        <f>IF(ISBLANK(Table1[[#This Row],[Tipo de Servicio]]),"",Caratula!$D$16)</f>
        <v/>
      </c>
      <c r="F608" t="str">
        <f>_xlfn.XLOOKUP(Table1[[#This Row],[SelGZ]]&amp;Table1[[#This Row],[Tipo de Servicio]],CatPEP!A:A,CatPEP!C:C,"")</f>
        <v/>
      </c>
      <c r="G608" t="str">
        <f>_xlfn.XLOOKUP(Table1[[#This Row],[PEP]],CatPEP!C:C,CatPEP!D:D,"")</f>
        <v/>
      </c>
      <c r="O608" s="53">
        <f>SUMIF('Registro Refacciones'!B:B, I608, 'Registro Refacciones'!I:I)</f>
        <v>0</v>
      </c>
      <c r="P608" s="26">
        <f>Table1[[#This Row],[Costo Servicio]]+Table1[[#This Row],[Refacciones]]</f>
        <v>0</v>
      </c>
      <c r="Q608" s="26"/>
    </row>
    <row r="609" spans="1:17">
      <c r="A609" s="37" t="str">
        <f>IF(Table1[[#This Row],[Tipo de Servicio]]="","",Caratula!$D$15)</f>
        <v/>
      </c>
      <c r="B609" s="37" t="str">
        <f>IF(Table1[[#This Row],[Tipo de Servicio]]="","",Caratula!$D$16)</f>
        <v/>
      </c>
      <c r="C609" s="24" t="str">
        <f>IF(Table1[[#This Row],[Tipo de Servicio]]="","",Caratula!$D$17)</f>
        <v/>
      </c>
      <c r="D609" s="38" t="str">
        <f>IF(ISBLANK(Table1[[#This Row],[Tipo de Servicio]]),"",Caratula!$D$16)</f>
        <v/>
      </c>
      <c r="F609" t="str">
        <f>_xlfn.XLOOKUP(Table1[[#This Row],[SelGZ]]&amp;Table1[[#This Row],[Tipo de Servicio]],CatPEP!A:A,CatPEP!C:C,"")</f>
        <v/>
      </c>
      <c r="G609" t="str">
        <f>_xlfn.XLOOKUP(Table1[[#This Row],[PEP]],CatPEP!C:C,CatPEP!D:D,"")</f>
        <v/>
      </c>
      <c r="O609" s="53">
        <f>SUMIF('Registro Refacciones'!B:B, I609, 'Registro Refacciones'!I:I)</f>
        <v>0</v>
      </c>
      <c r="P609" s="26">
        <f>Table1[[#This Row],[Costo Servicio]]+Table1[[#This Row],[Refacciones]]</f>
        <v>0</v>
      </c>
      <c r="Q609" s="26"/>
    </row>
    <row r="610" spans="1:17">
      <c r="A610" s="37" t="str">
        <f>IF(Table1[[#This Row],[Tipo de Servicio]]="","",Caratula!$D$15)</f>
        <v/>
      </c>
      <c r="B610" s="37" t="str">
        <f>IF(Table1[[#This Row],[Tipo de Servicio]]="","",Caratula!$D$16)</f>
        <v/>
      </c>
      <c r="C610" s="24" t="str">
        <f>IF(Table1[[#This Row],[Tipo de Servicio]]="","",Caratula!$D$17)</f>
        <v/>
      </c>
      <c r="D610" s="38" t="str">
        <f>IF(ISBLANK(Table1[[#This Row],[Tipo de Servicio]]),"",Caratula!$D$16)</f>
        <v/>
      </c>
      <c r="F610" t="str">
        <f>_xlfn.XLOOKUP(Table1[[#This Row],[SelGZ]]&amp;Table1[[#This Row],[Tipo de Servicio]],CatPEP!A:A,CatPEP!C:C,"")</f>
        <v/>
      </c>
      <c r="G610" t="str">
        <f>_xlfn.XLOOKUP(Table1[[#This Row],[PEP]],CatPEP!C:C,CatPEP!D:D,"")</f>
        <v/>
      </c>
      <c r="O610" s="53">
        <f>SUMIF('Registro Refacciones'!B:B, I610, 'Registro Refacciones'!I:I)</f>
        <v>0</v>
      </c>
      <c r="P610" s="26">
        <f>Table1[[#This Row],[Costo Servicio]]+Table1[[#This Row],[Refacciones]]</f>
        <v>0</v>
      </c>
      <c r="Q610" s="26"/>
    </row>
    <row r="611" spans="1:17">
      <c r="A611" s="37" t="str">
        <f>IF(Table1[[#This Row],[Tipo de Servicio]]="","",Caratula!$D$15)</f>
        <v/>
      </c>
      <c r="B611" s="37" t="str">
        <f>IF(Table1[[#This Row],[Tipo de Servicio]]="","",Caratula!$D$16)</f>
        <v/>
      </c>
      <c r="C611" s="24" t="str">
        <f>IF(Table1[[#This Row],[Tipo de Servicio]]="","",Caratula!$D$17)</f>
        <v/>
      </c>
      <c r="D611" s="38" t="str">
        <f>IF(ISBLANK(Table1[[#This Row],[Tipo de Servicio]]),"",Caratula!$D$16)</f>
        <v/>
      </c>
      <c r="F611" t="str">
        <f>_xlfn.XLOOKUP(Table1[[#This Row],[SelGZ]]&amp;Table1[[#This Row],[Tipo de Servicio]],CatPEP!A:A,CatPEP!C:C,"")</f>
        <v/>
      </c>
      <c r="G611" t="str">
        <f>_xlfn.XLOOKUP(Table1[[#This Row],[PEP]],CatPEP!C:C,CatPEP!D:D,"")</f>
        <v/>
      </c>
      <c r="O611" s="53">
        <f>SUMIF('Registro Refacciones'!B:B, I611, 'Registro Refacciones'!I:I)</f>
        <v>0</v>
      </c>
      <c r="P611" s="26">
        <f>Table1[[#This Row],[Costo Servicio]]+Table1[[#This Row],[Refacciones]]</f>
        <v>0</v>
      </c>
      <c r="Q611" s="26"/>
    </row>
    <row r="612" spans="1:17">
      <c r="A612" s="37" t="str">
        <f>IF(Table1[[#This Row],[Tipo de Servicio]]="","",Caratula!$D$15)</f>
        <v/>
      </c>
      <c r="B612" s="37" t="str">
        <f>IF(Table1[[#This Row],[Tipo de Servicio]]="","",Caratula!$D$16)</f>
        <v/>
      </c>
      <c r="C612" s="24" t="str">
        <f>IF(Table1[[#This Row],[Tipo de Servicio]]="","",Caratula!$D$17)</f>
        <v/>
      </c>
      <c r="D612" s="38" t="str">
        <f>IF(ISBLANK(Table1[[#This Row],[Tipo de Servicio]]),"",Caratula!$D$16)</f>
        <v/>
      </c>
      <c r="F612" t="str">
        <f>_xlfn.XLOOKUP(Table1[[#This Row],[SelGZ]]&amp;Table1[[#This Row],[Tipo de Servicio]],CatPEP!A:A,CatPEP!C:C,"")</f>
        <v/>
      </c>
      <c r="G612" t="str">
        <f>_xlfn.XLOOKUP(Table1[[#This Row],[PEP]],CatPEP!C:C,CatPEP!D:D,"")</f>
        <v/>
      </c>
      <c r="O612" s="53">
        <f>SUMIF('Registro Refacciones'!B:B, I612, 'Registro Refacciones'!I:I)</f>
        <v>0</v>
      </c>
      <c r="P612" s="26">
        <f>Table1[[#This Row],[Costo Servicio]]+Table1[[#This Row],[Refacciones]]</f>
        <v>0</v>
      </c>
      <c r="Q612" s="26"/>
    </row>
    <row r="613" spans="1:17">
      <c r="A613" s="37" t="str">
        <f>IF(Table1[[#This Row],[Tipo de Servicio]]="","",Caratula!$D$15)</f>
        <v/>
      </c>
      <c r="B613" s="37" t="str">
        <f>IF(Table1[[#This Row],[Tipo de Servicio]]="","",Caratula!$D$16)</f>
        <v/>
      </c>
      <c r="C613" s="24" t="str">
        <f>IF(Table1[[#This Row],[Tipo de Servicio]]="","",Caratula!$D$17)</f>
        <v/>
      </c>
      <c r="D613" s="38" t="str">
        <f>IF(ISBLANK(Table1[[#This Row],[Tipo de Servicio]]),"",Caratula!$D$16)</f>
        <v/>
      </c>
      <c r="F613" t="str">
        <f>_xlfn.XLOOKUP(Table1[[#This Row],[SelGZ]]&amp;Table1[[#This Row],[Tipo de Servicio]],CatPEP!A:A,CatPEP!C:C,"")</f>
        <v/>
      </c>
      <c r="G613" t="str">
        <f>_xlfn.XLOOKUP(Table1[[#This Row],[PEP]],CatPEP!C:C,CatPEP!D:D,"")</f>
        <v/>
      </c>
      <c r="O613" s="53">
        <f>SUMIF('Registro Refacciones'!B:B, I613, 'Registro Refacciones'!I:I)</f>
        <v>0</v>
      </c>
      <c r="P613" s="26">
        <f>Table1[[#This Row],[Costo Servicio]]+Table1[[#This Row],[Refacciones]]</f>
        <v>0</v>
      </c>
      <c r="Q613" s="26"/>
    </row>
    <row r="614" spans="1:17">
      <c r="A614" s="37" t="str">
        <f>IF(Table1[[#This Row],[Tipo de Servicio]]="","",Caratula!$D$15)</f>
        <v/>
      </c>
      <c r="B614" s="37" t="str">
        <f>IF(Table1[[#This Row],[Tipo de Servicio]]="","",Caratula!$D$16)</f>
        <v/>
      </c>
      <c r="C614" s="24" t="str">
        <f>IF(Table1[[#This Row],[Tipo de Servicio]]="","",Caratula!$D$17)</f>
        <v/>
      </c>
      <c r="D614" s="38" t="str">
        <f>IF(ISBLANK(Table1[[#This Row],[Tipo de Servicio]]),"",Caratula!$D$16)</f>
        <v/>
      </c>
      <c r="F614" t="str">
        <f>_xlfn.XLOOKUP(Table1[[#This Row],[SelGZ]]&amp;Table1[[#This Row],[Tipo de Servicio]],CatPEP!A:A,CatPEP!C:C,"")</f>
        <v/>
      </c>
      <c r="G614" t="str">
        <f>_xlfn.XLOOKUP(Table1[[#This Row],[PEP]],CatPEP!C:C,CatPEP!D:D,"")</f>
        <v/>
      </c>
      <c r="O614" s="53">
        <f>SUMIF('Registro Refacciones'!B:B, I614, 'Registro Refacciones'!I:I)</f>
        <v>0</v>
      </c>
      <c r="P614" s="26">
        <f>Table1[[#This Row],[Costo Servicio]]+Table1[[#This Row],[Refacciones]]</f>
        <v>0</v>
      </c>
      <c r="Q614" s="26"/>
    </row>
    <row r="615" spans="1:17">
      <c r="A615" s="37" t="str">
        <f>IF(Table1[[#This Row],[Tipo de Servicio]]="","",Caratula!$D$15)</f>
        <v/>
      </c>
      <c r="B615" s="37" t="str">
        <f>IF(Table1[[#This Row],[Tipo de Servicio]]="","",Caratula!$D$16)</f>
        <v/>
      </c>
      <c r="C615" s="24" t="str">
        <f>IF(Table1[[#This Row],[Tipo de Servicio]]="","",Caratula!$D$17)</f>
        <v/>
      </c>
      <c r="D615" s="38" t="str">
        <f>IF(ISBLANK(Table1[[#This Row],[Tipo de Servicio]]),"",Caratula!$D$16)</f>
        <v/>
      </c>
      <c r="F615" t="str">
        <f>_xlfn.XLOOKUP(Table1[[#This Row],[SelGZ]]&amp;Table1[[#This Row],[Tipo de Servicio]],CatPEP!A:A,CatPEP!C:C,"")</f>
        <v/>
      </c>
      <c r="G615" t="str">
        <f>_xlfn.XLOOKUP(Table1[[#This Row],[PEP]],CatPEP!C:C,CatPEP!D:D,"")</f>
        <v/>
      </c>
      <c r="O615" s="53">
        <f>SUMIF('Registro Refacciones'!B:B, I615, 'Registro Refacciones'!I:I)</f>
        <v>0</v>
      </c>
      <c r="P615" s="26">
        <f>Table1[[#This Row],[Costo Servicio]]+Table1[[#This Row],[Refacciones]]</f>
        <v>0</v>
      </c>
      <c r="Q615" s="26"/>
    </row>
    <row r="616" spans="1:17">
      <c r="A616" s="37" t="str">
        <f>IF(Table1[[#This Row],[Tipo de Servicio]]="","",Caratula!$D$15)</f>
        <v/>
      </c>
      <c r="B616" s="37" t="str">
        <f>IF(Table1[[#This Row],[Tipo de Servicio]]="","",Caratula!$D$16)</f>
        <v/>
      </c>
      <c r="C616" s="24" t="str">
        <f>IF(Table1[[#This Row],[Tipo de Servicio]]="","",Caratula!$D$17)</f>
        <v/>
      </c>
      <c r="D616" s="38" t="str">
        <f>IF(ISBLANK(Table1[[#This Row],[Tipo de Servicio]]),"",Caratula!$D$16)</f>
        <v/>
      </c>
      <c r="F616" t="str">
        <f>_xlfn.XLOOKUP(Table1[[#This Row],[SelGZ]]&amp;Table1[[#This Row],[Tipo de Servicio]],CatPEP!A:A,CatPEP!C:C,"")</f>
        <v/>
      </c>
      <c r="G616" t="str">
        <f>_xlfn.XLOOKUP(Table1[[#This Row],[PEP]],CatPEP!C:C,CatPEP!D:D,"")</f>
        <v/>
      </c>
      <c r="O616" s="53">
        <f>SUMIF('Registro Refacciones'!B:B, I616, 'Registro Refacciones'!I:I)</f>
        <v>0</v>
      </c>
      <c r="P616" s="26">
        <f>Table1[[#This Row],[Costo Servicio]]+Table1[[#This Row],[Refacciones]]</f>
        <v>0</v>
      </c>
      <c r="Q616" s="26"/>
    </row>
    <row r="617" spans="1:17">
      <c r="A617" s="37" t="str">
        <f>IF(Table1[[#This Row],[Tipo de Servicio]]="","",Caratula!$D$15)</f>
        <v/>
      </c>
      <c r="B617" s="37" t="str">
        <f>IF(Table1[[#This Row],[Tipo de Servicio]]="","",Caratula!$D$16)</f>
        <v/>
      </c>
      <c r="C617" s="24" t="str">
        <f>IF(Table1[[#This Row],[Tipo de Servicio]]="","",Caratula!$D$17)</f>
        <v/>
      </c>
      <c r="D617" s="38" t="str">
        <f>IF(ISBLANK(Table1[[#This Row],[Tipo de Servicio]]),"",Caratula!$D$16)</f>
        <v/>
      </c>
      <c r="F617" t="str">
        <f>_xlfn.XLOOKUP(Table1[[#This Row],[SelGZ]]&amp;Table1[[#This Row],[Tipo de Servicio]],CatPEP!A:A,CatPEP!C:C,"")</f>
        <v/>
      </c>
      <c r="G617" t="str">
        <f>_xlfn.XLOOKUP(Table1[[#This Row],[PEP]],CatPEP!C:C,CatPEP!D:D,"")</f>
        <v/>
      </c>
      <c r="O617" s="53">
        <f>SUMIF('Registro Refacciones'!B:B, I617, 'Registro Refacciones'!I:I)</f>
        <v>0</v>
      </c>
      <c r="P617" s="26">
        <f>Table1[[#This Row],[Costo Servicio]]+Table1[[#This Row],[Refacciones]]</f>
        <v>0</v>
      </c>
      <c r="Q617" s="26"/>
    </row>
    <row r="618" spans="1:17">
      <c r="A618" s="37" t="str">
        <f>IF(Table1[[#This Row],[Tipo de Servicio]]="","",Caratula!$D$15)</f>
        <v/>
      </c>
      <c r="B618" s="37" t="str">
        <f>IF(Table1[[#This Row],[Tipo de Servicio]]="","",Caratula!$D$16)</f>
        <v/>
      </c>
      <c r="C618" s="24" t="str">
        <f>IF(Table1[[#This Row],[Tipo de Servicio]]="","",Caratula!$D$17)</f>
        <v/>
      </c>
      <c r="D618" s="38" t="str">
        <f>IF(ISBLANK(Table1[[#This Row],[Tipo de Servicio]]),"",Caratula!$D$16)</f>
        <v/>
      </c>
      <c r="F618" t="str">
        <f>_xlfn.XLOOKUP(Table1[[#This Row],[SelGZ]]&amp;Table1[[#This Row],[Tipo de Servicio]],CatPEP!A:A,CatPEP!C:C,"")</f>
        <v/>
      </c>
      <c r="G618" t="str">
        <f>_xlfn.XLOOKUP(Table1[[#This Row],[PEP]],CatPEP!C:C,CatPEP!D:D,"")</f>
        <v/>
      </c>
      <c r="O618" s="53">
        <f>SUMIF('Registro Refacciones'!B:B, I618, 'Registro Refacciones'!I:I)</f>
        <v>0</v>
      </c>
      <c r="P618" s="26">
        <f>Table1[[#This Row],[Costo Servicio]]+Table1[[#This Row],[Refacciones]]</f>
        <v>0</v>
      </c>
      <c r="Q618" s="26"/>
    </row>
    <row r="619" spans="1:17">
      <c r="A619" s="37" t="str">
        <f>IF(Table1[[#This Row],[Tipo de Servicio]]="","",Caratula!$D$15)</f>
        <v/>
      </c>
      <c r="B619" s="37" t="str">
        <f>IF(Table1[[#This Row],[Tipo de Servicio]]="","",Caratula!$D$16)</f>
        <v/>
      </c>
      <c r="C619" s="24" t="str">
        <f>IF(Table1[[#This Row],[Tipo de Servicio]]="","",Caratula!$D$17)</f>
        <v/>
      </c>
      <c r="D619" s="38" t="str">
        <f>IF(ISBLANK(Table1[[#This Row],[Tipo de Servicio]]),"",Caratula!$D$16)</f>
        <v/>
      </c>
      <c r="F619" t="str">
        <f>_xlfn.XLOOKUP(Table1[[#This Row],[SelGZ]]&amp;Table1[[#This Row],[Tipo de Servicio]],CatPEP!A:A,CatPEP!C:C,"")</f>
        <v/>
      </c>
      <c r="G619" t="str">
        <f>_xlfn.XLOOKUP(Table1[[#This Row],[PEP]],CatPEP!C:C,CatPEP!D:D,"")</f>
        <v/>
      </c>
      <c r="O619" s="53">
        <f>SUMIF('Registro Refacciones'!B:B, I619, 'Registro Refacciones'!I:I)</f>
        <v>0</v>
      </c>
      <c r="P619" s="26">
        <f>Table1[[#This Row],[Costo Servicio]]+Table1[[#This Row],[Refacciones]]</f>
        <v>0</v>
      </c>
      <c r="Q619" s="26"/>
    </row>
    <row r="620" spans="1:17">
      <c r="A620" s="37" t="str">
        <f>IF(Table1[[#This Row],[Tipo de Servicio]]="","",Caratula!$D$15)</f>
        <v/>
      </c>
      <c r="B620" s="37" t="str">
        <f>IF(Table1[[#This Row],[Tipo de Servicio]]="","",Caratula!$D$16)</f>
        <v/>
      </c>
      <c r="C620" s="24" t="str">
        <f>IF(Table1[[#This Row],[Tipo de Servicio]]="","",Caratula!$D$17)</f>
        <v/>
      </c>
      <c r="D620" s="38" t="str">
        <f>IF(ISBLANK(Table1[[#This Row],[Tipo de Servicio]]),"",Caratula!$D$16)</f>
        <v/>
      </c>
      <c r="F620" t="str">
        <f>_xlfn.XLOOKUP(Table1[[#This Row],[SelGZ]]&amp;Table1[[#This Row],[Tipo de Servicio]],CatPEP!A:A,CatPEP!C:C,"")</f>
        <v/>
      </c>
      <c r="G620" t="str">
        <f>_xlfn.XLOOKUP(Table1[[#This Row],[PEP]],CatPEP!C:C,CatPEP!D:D,"")</f>
        <v/>
      </c>
      <c r="O620" s="53">
        <f>SUMIF('Registro Refacciones'!B:B, I620, 'Registro Refacciones'!I:I)</f>
        <v>0</v>
      </c>
      <c r="P620" s="26">
        <f>Table1[[#This Row],[Costo Servicio]]+Table1[[#This Row],[Refacciones]]</f>
        <v>0</v>
      </c>
      <c r="Q620" s="26"/>
    </row>
    <row r="621" spans="1:17">
      <c r="A621" s="37" t="str">
        <f>IF(Table1[[#This Row],[Tipo de Servicio]]="","",Caratula!$D$15)</f>
        <v/>
      </c>
      <c r="B621" s="37" t="str">
        <f>IF(Table1[[#This Row],[Tipo de Servicio]]="","",Caratula!$D$16)</f>
        <v/>
      </c>
      <c r="C621" s="24" t="str">
        <f>IF(Table1[[#This Row],[Tipo de Servicio]]="","",Caratula!$D$17)</f>
        <v/>
      </c>
      <c r="D621" s="38" t="str">
        <f>IF(ISBLANK(Table1[[#This Row],[Tipo de Servicio]]),"",Caratula!$D$16)</f>
        <v/>
      </c>
      <c r="F621" t="str">
        <f>_xlfn.XLOOKUP(Table1[[#This Row],[SelGZ]]&amp;Table1[[#This Row],[Tipo de Servicio]],CatPEP!A:A,CatPEP!C:C,"")</f>
        <v/>
      </c>
      <c r="G621" t="str">
        <f>_xlfn.XLOOKUP(Table1[[#This Row],[PEP]],CatPEP!C:C,CatPEP!D:D,"")</f>
        <v/>
      </c>
      <c r="O621" s="53">
        <f>SUMIF('Registro Refacciones'!B:B, I621, 'Registro Refacciones'!I:I)</f>
        <v>0</v>
      </c>
      <c r="P621" s="26">
        <f>Table1[[#This Row],[Costo Servicio]]+Table1[[#This Row],[Refacciones]]</f>
        <v>0</v>
      </c>
      <c r="Q621" s="26"/>
    </row>
    <row r="622" spans="1:17">
      <c r="A622" s="37" t="str">
        <f>IF(Table1[[#This Row],[Tipo de Servicio]]="","",Caratula!$D$15)</f>
        <v/>
      </c>
      <c r="B622" s="37" t="str">
        <f>IF(Table1[[#This Row],[Tipo de Servicio]]="","",Caratula!$D$16)</f>
        <v/>
      </c>
      <c r="C622" s="24" t="str">
        <f>IF(Table1[[#This Row],[Tipo de Servicio]]="","",Caratula!$D$17)</f>
        <v/>
      </c>
      <c r="D622" s="38" t="str">
        <f>IF(ISBLANK(Table1[[#This Row],[Tipo de Servicio]]),"",Caratula!$D$16)</f>
        <v/>
      </c>
      <c r="F622" t="str">
        <f>_xlfn.XLOOKUP(Table1[[#This Row],[SelGZ]]&amp;Table1[[#This Row],[Tipo de Servicio]],CatPEP!A:A,CatPEP!C:C,"")</f>
        <v/>
      </c>
      <c r="G622" t="str">
        <f>_xlfn.XLOOKUP(Table1[[#This Row],[PEP]],CatPEP!C:C,CatPEP!D:D,"")</f>
        <v/>
      </c>
      <c r="O622" s="53">
        <f>SUMIF('Registro Refacciones'!B:B, I622, 'Registro Refacciones'!I:I)</f>
        <v>0</v>
      </c>
      <c r="P622" s="26">
        <f>Table1[[#This Row],[Costo Servicio]]+Table1[[#This Row],[Refacciones]]</f>
        <v>0</v>
      </c>
      <c r="Q622" s="26"/>
    </row>
    <row r="623" spans="1:17">
      <c r="A623" s="37" t="str">
        <f>IF(Table1[[#This Row],[Tipo de Servicio]]="","",Caratula!$D$15)</f>
        <v/>
      </c>
      <c r="B623" s="37" t="str">
        <f>IF(Table1[[#This Row],[Tipo de Servicio]]="","",Caratula!$D$16)</f>
        <v/>
      </c>
      <c r="C623" s="24" t="str">
        <f>IF(Table1[[#This Row],[Tipo de Servicio]]="","",Caratula!$D$17)</f>
        <v/>
      </c>
      <c r="D623" s="38" t="str">
        <f>IF(ISBLANK(Table1[[#This Row],[Tipo de Servicio]]),"",Caratula!$D$16)</f>
        <v/>
      </c>
      <c r="F623" t="str">
        <f>_xlfn.XLOOKUP(Table1[[#This Row],[SelGZ]]&amp;Table1[[#This Row],[Tipo de Servicio]],CatPEP!A:A,CatPEP!C:C,"")</f>
        <v/>
      </c>
      <c r="G623" t="str">
        <f>_xlfn.XLOOKUP(Table1[[#This Row],[PEP]],CatPEP!C:C,CatPEP!D:D,"")</f>
        <v/>
      </c>
      <c r="O623" s="53">
        <f>SUMIF('Registro Refacciones'!B:B, I623, 'Registro Refacciones'!I:I)</f>
        <v>0</v>
      </c>
      <c r="P623" s="26">
        <f>Table1[[#This Row],[Costo Servicio]]+Table1[[#This Row],[Refacciones]]</f>
        <v>0</v>
      </c>
      <c r="Q623" s="26"/>
    </row>
    <row r="624" spans="1:17">
      <c r="A624" s="37" t="str">
        <f>IF(Table1[[#This Row],[Tipo de Servicio]]="","",Caratula!$D$15)</f>
        <v/>
      </c>
      <c r="B624" s="37" t="str">
        <f>IF(Table1[[#This Row],[Tipo de Servicio]]="","",Caratula!$D$16)</f>
        <v/>
      </c>
      <c r="C624" s="24" t="str">
        <f>IF(Table1[[#This Row],[Tipo de Servicio]]="","",Caratula!$D$17)</f>
        <v/>
      </c>
      <c r="D624" s="38" t="str">
        <f>IF(ISBLANK(Table1[[#This Row],[Tipo de Servicio]]),"",Caratula!$D$16)</f>
        <v/>
      </c>
      <c r="F624" t="str">
        <f>_xlfn.XLOOKUP(Table1[[#This Row],[SelGZ]]&amp;Table1[[#This Row],[Tipo de Servicio]],CatPEP!A:A,CatPEP!C:C,"")</f>
        <v/>
      </c>
      <c r="G624" t="str">
        <f>_xlfn.XLOOKUP(Table1[[#This Row],[PEP]],CatPEP!C:C,CatPEP!D:D,"")</f>
        <v/>
      </c>
      <c r="O624" s="53">
        <f>SUMIF('Registro Refacciones'!B:B, I624, 'Registro Refacciones'!I:I)</f>
        <v>0</v>
      </c>
      <c r="P624" s="26">
        <f>Table1[[#This Row],[Costo Servicio]]+Table1[[#This Row],[Refacciones]]</f>
        <v>0</v>
      </c>
      <c r="Q624" s="26"/>
    </row>
    <row r="625" spans="1:17">
      <c r="A625" s="37" t="str">
        <f>IF(Table1[[#This Row],[Tipo de Servicio]]="","",Caratula!$D$15)</f>
        <v/>
      </c>
      <c r="B625" s="37" t="str">
        <f>IF(Table1[[#This Row],[Tipo de Servicio]]="","",Caratula!$D$16)</f>
        <v/>
      </c>
      <c r="C625" s="24" t="str">
        <f>IF(Table1[[#This Row],[Tipo de Servicio]]="","",Caratula!$D$17)</f>
        <v/>
      </c>
      <c r="D625" s="38" t="str">
        <f>IF(ISBLANK(Table1[[#This Row],[Tipo de Servicio]]),"",Caratula!$D$16)</f>
        <v/>
      </c>
      <c r="F625" t="str">
        <f>_xlfn.XLOOKUP(Table1[[#This Row],[SelGZ]]&amp;Table1[[#This Row],[Tipo de Servicio]],CatPEP!A:A,CatPEP!C:C,"")</f>
        <v/>
      </c>
      <c r="G625" t="str">
        <f>_xlfn.XLOOKUP(Table1[[#This Row],[PEP]],CatPEP!C:C,CatPEP!D:D,"")</f>
        <v/>
      </c>
      <c r="O625" s="53">
        <f>SUMIF('Registro Refacciones'!B:B, I625, 'Registro Refacciones'!I:I)</f>
        <v>0</v>
      </c>
      <c r="P625" s="26">
        <f>Table1[[#This Row],[Costo Servicio]]+Table1[[#This Row],[Refacciones]]</f>
        <v>0</v>
      </c>
      <c r="Q625" s="26"/>
    </row>
    <row r="626" spans="1:17">
      <c r="A626" s="37" t="str">
        <f>IF(Table1[[#This Row],[Tipo de Servicio]]="","",Caratula!$D$15)</f>
        <v/>
      </c>
      <c r="B626" s="37" t="str">
        <f>IF(Table1[[#This Row],[Tipo de Servicio]]="","",Caratula!$D$16)</f>
        <v/>
      </c>
      <c r="C626" s="24" t="str">
        <f>IF(Table1[[#This Row],[Tipo de Servicio]]="","",Caratula!$D$17)</f>
        <v/>
      </c>
      <c r="D626" s="38" t="str">
        <f>IF(ISBLANK(Table1[[#This Row],[Tipo de Servicio]]),"",Caratula!$D$16)</f>
        <v/>
      </c>
      <c r="F626" t="str">
        <f>_xlfn.XLOOKUP(Table1[[#This Row],[SelGZ]]&amp;Table1[[#This Row],[Tipo de Servicio]],CatPEP!A:A,CatPEP!C:C,"")</f>
        <v/>
      </c>
      <c r="G626" t="str">
        <f>_xlfn.XLOOKUP(Table1[[#This Row],[PEP]],CatPEP!C:C,CatPEP!D:D,"")</f>
        <v/>
      </c>
      <c r="O626" s="53">
        <f>SUMIF('Registro Refacciones'!B:B, I626, 'Registro Refacciones'!I:I)</f>
        <v>0</v>
      </c>
      <c r="P626" s="26">
        <f>Table1[[#This Row],[Costo Servicio]]+Table1[[#This Row],[Refacciones]]</f>
        <v>0</v>
      </c>
      <c r="Q626" s="26"/>
    </row>
    <row r="627" spans="1:17">
      <c r="A627" s="37" t="str">
        <f>IF(Table1[[#This Row],[Tipo de Servicio]]="","",Caratula!$D$15)</f>
        <v/>
      </c>
      <c r="B627" s="37" t="str">
        <f>IF(Table1[[#This Row],[Tipo de Servicio]]="","",Caratula!$D$16)</f>
        <v/>
      </c>
      <c r="C627" s="24" t="str">
        <f>IF(Table1[[#This Row],[Tipo de Servicio]]="","",Caratula!$D$17)</f>
        <v/>
      </c>
      <c r="D627" s="38" t="str">
        <f>IF(ISBLANK(Table1[[#This Row],[Tipo de Servicio]]),"",Caratula!$D$16)</f>
        <v/>
      </c>
      <c r="F627" t="str">
        <f>_xlfn.XLOOKUP(Table1[[#This Row],[SelGZ]]&amp;Table1[[#This Row],[Tipo de Servicio]],CatPEP!A:A,CatPEP!C:C,"")</f>
        <v/>
      </c>
      <c r="G627" t="str">
        <f>_xlfn.XLOOKUP(Table1[[#This Row],[PEP]],CatPEP!C:C,CatPEP!D:D,"")</f>
        <v/>
      </c>
      <c r="O627" s="53">
        <f>SUMIF('Registro Refacciones'!B:B, I627, 'Registro Refacciones'!I:I)</f>
        <v>0</v>
      </c>
      <c r="P627" s="26">
        <f>Table1[[#This Row],[Costo Servicio]]+Table1[[#This Row],[Refacciones]]</f>
        <v>0</v>
      </c>
      <c r="Q627" s="26"/>
    </row>
    <row r="628" spans="1:17">
      <c r="A628" s="37" t="str">
        <f>IF(Table1[[#This Row],[Tipo de Servicio]]="","",Caratula!$D$15)</f>
        <v/>
      </c>
      <c r="B628" s="37" t="str">
        <f>IF(Table1[[#This Row],[Tipo de Servicio]]="","",Caratula!$D$16)</f>
        <v/>
      </c>
      <c r="C628" s="24" t="str">
        <f>IF(Table1[[#This Row],[Tipo de Servicio]]="","",Caratula!$D$17)</f>
        <v/>
      </c>
      <c r="D628" s="38" t="str">
        <f>IF(ISBLANK(Table1[[#This Row],[Tipo de Servicio]]),"",Caratula!$D$16)</f>
        <v/>
      </c>
      <c r="F628" t="str">
        <f>_xlfn.XLOOKUP(Table1[[#This Row],[SelGZ]]&amp;Table1[[#This Row],[Tipo de Servicio]],CatPEP!A:A,CatPEP!C:C,"")</f>
        <v/>
      </c>
      <c r="G628" t="str">
        <f>_xlfn.XLOOKUP(Table1[[#This Row],[PEP]],CatPEP!C:C,CatPEP!D:D,"")</f>
        <v/>
      </c>
      <c r="O628" s="53">
        <f>SUMIF('Registro Refacciones'!B:B, I628, 'Registro Refacciones'!I:I)</f>
        <v>0</v>
      </c>
      <c r="P628" s="26">
        <f>Table1[[#This Row],[Costo Servicio]]+Table1[[#This Row],[Refacciones]]</f>
        <v>0</v>
      </c>
      <c r="Q628" s="26"/>
    </row>
    <row r="629" spans="1:17">
      <c r="A629" s="37" t="str">
        <f>IF(Table1[[#This Row],[Tipo de Servicio]]="","",Caratula!$D$15)</f>
        <v/>
      </c>
      <c r="B629" s="37" t="str">
        <f>IF(Table1[[#This Row],[Tipo de Servicio]]="","",Caratula!$D$16)</f>
        <v/>
      </c>
      <c r="C629" s="24" t="str">
        <f>IF(Table1[[#This Row],[Tipo de Servicio]]="","",Caratula!$D$17)</f>
        <v/>
      </c>
      <c r="D629" s="38" t="str">
        <f>IF(ISBLANK(Table1[[#This Row],[Tipo de Servicio]]),"",Caratula!$D$16)</f>
        <v/>
      </c>
      <c r="F629" t="str">
        <f>_xlfn.XLOOKUP(Table1[[#This Row],[SelGZ]]&amp;Table1[[#This Row],[Tipo de Servicio]],CatPEP!A:A,CatPEP!C:C,"")</f>
        <v/>
      </c>
      <c r="G629" t="str">
        <f>_xlfn.XLOOKUP(Table1[[#This Row],[PEP]],CatPEP!C:C,CatPEP!D:D,"")</f>
        <v/>
      </c>
      <c r="O629" s="53">
        <f>SUMIF('Registro Refacciones'!B:B, I629, 'Registro Refacciones'!I:I)</f>
        <v>0</v>
      </c>
      <c r="P629" s="26">
        <f>Table1[[#This Row],[Costo Servicio]]+Table1[[#This Row],[Refacciones]]</f>
        <v>0</v>
      </c>
      <c r="Q629" s="26"/>
    </row>
    <row r="630" spans="1:17">
      <c r="A630" s="37" t="str">
        <f>IF(Table1[[#This Row],[Tipo de Servicio]]="","",Caratula!$D$15)</f>
        <v/>
      </c>
      <c r="B630" s="37" t="str">
        <f>IF(Table1[[#This Row],[Tipo de Servicio]]="","",Caratula!$D$16)</f>
        <v/>
      </c>
      <c r="C630" s="24" t="str">
        <f>IF(Table1[[#This Row],[Tipo de Servicio]]="","",Caratula!$D$17)</f>
        <v/>
      </c>
      <c r="D630" s="38" t="str">
        <f>IF(ISBLANK(Table1[[#This Row],[Tipo de Servicio]]),"",Caratula!$D$16)</f>
        <v/>
      </c>
      <c r="F630" t="str">
        <f>_xlfn.XLOOKUP(Table1[[#This Row],[SelGZ]]&amp;Table1[[#This Row],[Tipo de Servicio]],CatPEP!A:A,CatPEP!C:C,"")</f>
        <v/>
      </c>
      <c r="G630" t="str">
        <f>_xlfn.XLOOKUP(Table1[[#This Row],[PEP]],CatPEP!C:C,CatPEP!D:D,"")</f>
        <v/>
      </c>
      <c r="O630" s="53">
        <f>SUMIF('Registro Refacciones'!B:B, I630, 'Registro Refacciones'!I:I)</f>
        <v>0</v>
      </c>
      <c r="P630" s="26">
        <f>Table1[[#This Row],[Costo Servicio]]+Table1[[#This Row],[Refacciones]]</f>
        <v>0</v>
      </c>
      <c r="Q630" s="26"/>
    </row>
    <row r="631" spans="1:17">
      <c r="A631" s="37" t="str">
        <f>IF(Table1[[#This Row],[Tipo de Servicio]]="","",Caratula!$D$15)</f>
        <v/>
      </c>
      <c r="B631" s="37" t="str">
        <f>IF(Table1[[#This Row],[Tipo de Servicio]]="","",Caratula!$D$16)</f>
        <v/>
      </c>
      <c r="C631" s="24" t="str">
        <f>IF(Table1[[#This Row],[Tipo de Servicio]]="","",Caratula!$D$17)</f>
        <v/>
      </c>
      <c r="D631" s="38" t="str">
        <f>IF(ISBLANK(Table1[[#This Row],[Tipo de Servicio]]),"",Caratula!$D$16)</f>
        <v/>
      </c>
      <c r="F631" t="str">
        <f>_xlfn.XLOOKUP(Table1[[#This Row],[SelGZ]]&amp;Table1[[#This Row],[Tipo de Servicio]],CatPEP!A:A,CatPEP!C:C,"")</f>
        <v/>
      </c>
      <c r="G631" t="str">
        <f>_xlfn.XLOOKUP(Table1[[#This Row],[PEP]],CatPEP!C:C,CatPEP!D:D,"")</f>
        <v/>
      </c>
      <c r="O631" s="53">
        <f>SUMIF('Registro Refacciones'!B:B, I631, 'Registro Refacciones'!I:I)</f>
        <v>0</v>
      </c>
      <c r="P631" s="26">
        <f>Table1[[#This Row],[Costo Servicio]]+Table1[[#This Row],[Refacciones]]</f>
        <v>0</v>
      </c>
      <c r="Q631" s="26"/>
    </row>
    <row r="632" spans="1:17">
      <c r="A632" s="37" t="str">
        <f>IF(Table1[[#This Row],[Tipo de Servicio]]="","",Caratula!$D$15)</f>
        <v/>
      </c>
      <c r="B632" s="37" t="str">
        <f>IF(Table1[[#This Row],[Tipo de Servicio]]="","",Caratula!$D$16)</f>
        <v/>
      </c>
      <c r="C632" s="24" t="str">
        <f>IF(Table1[[#This Row],[Tipo de Servicio]]="","",Caratula!$D$17)</f>
        <v/>
      </c>
      <c r="D632" s="38" t="str">
        <f>IF(ISBLANK(Table1[[#This Row],[Tipo de Servicio]]),"",Caratula!$D$16)</f>
        <v/>
      </c>
      <c r="F632" t="str">
        <f>_xlfn.XLOOKUP(Table1[[#This Row],[SelGZ]]&amp;Table1[[#This Row],[Tipo de Servicio]],CatPEP!A:A,CatPEP!C:C,"")</f>
        <v/>
      </c>
      <c r="G632" t="str">
        <f>_xlfn.XLOOKUP(Table1[[#This Row],[PEP]],CatPEP!C:C,CatPEP!D:D,"")</f>
        <v/>
      </c>
      <c r="O632" s="53">
        <f>SUMIF('Registro Refacciones'!B:B, I632, 'Registro Refacciones'!I:I)</f>
        <v>0</v>
      </c>
      <c r="P632" s="26">
        <f>Table1[[#This Row],[Costo Servicio]]+Table1[[#This Row],[Refacciones]]</f>
        <v>0</v>
      </c>
      <c r="Q632" s="26"/>
    </row>
    <row r="633" spans="1:17">
      <c r="A633" s="37" t="str">
        <f>IF(Table1[[#This Row],[Tipo de Servicio]]="","",Caratula!$D$15)</f>
        <v/>
      </c>
      <c r="B633" s="37" t="str">
        <f>IF(Table1[[#This Row],[Tipo de Servicio]]="","",Caratula!$D$16)</f>
        <v/>
      </c>
      <c r="C633" s="24" t="str">
        <f>IF(Table1[[#This Row],[Tipo de Servicio]]="","",Caratula!$D$17)</f>
        <v/>
      </c>
      <c r="D633" s="38" t="str">
        <f>IF(ISBLANK(Table1[[#This Row],[Tipo de Servicio]]),"",Caratula!$D$16)</f>
        <v/>
      </c>
      <c r="F633" t="str">
        <f>_xlfn.XLOOKUP(Table1[[#This Row],[SelGZ]]&amp;Table1[[#This Row],[Tipo de Servicio]],CatPEP!A:A,CatPEP!C:C,"")</f>
        <v/>
      </c>
      <c r="G633" t="str">
        <f>_xlfn.XLOOKUP(Table1[[#This Row],[PEP]],CatPEP!C:C,CatPEP!D:D,"")</f>
        <v/>
      </c>
      <c r="O633" s="53">
        <f>SUMIF('Registro Refacciones'!B:B, I633, 'Registro Refacciones'!I:I)</f>
        <v>0</v>
      </c>
      <c r="P633" s="26">
        <f>Table1[[#This Row],[Costo Servicio]]+Table1[[#This Row],[Refacciones]]</f>
        <v>0</v>
      </c>
      <c r="Q633" s="26"/>
    </row>
    <row r="634" spans="1:17">
      <c r="A634" s="37" t="str">
        <f>IF(Table1[[#This Row],[Tipo de Servicio]]="","",Caratula!$D$15)</f>
        <v/>
      </c>
      <c r="B634" s="37" t="str">
        <f>IF(Table1[[#This Row],[Tipo de Servicio]]="","",Caratula!$D$16)</f>
        <v/>
      </c>
      <c r="C634" s="24" t="str">
        <f>IF(Table1[[#This Row],[Tipo de Servicio]]="","",Caratula!$D$17)</f>
        <v/>
      </c>
      <c r="D634" s="38" t="str">
        <f>IF(ISBLANK(Table1[[#This Row],[Tipo de Servicio]]),"",Caratula!$D$16)</f>
        <v/>
      </c>
      <c r="F634" t="str">
        <f>_xlfn.XLOOKUP(Table1[[#This Row],[SelGZ]]&amp;Table1[[#This Row],[Tipo de Servicio]],CatPEP!A:A,CatPEP!C:C,"")</f>
        <v/>
      </c>
      <c r="G634" t="str">
        <f>_xlfn.XLOOKUP(Table1[[#This Row],[PEP]],CatPEP!C:C,CatPEP!D:D,"")</f>
        <v/>
      </c>
      <c r="O634" s="53">
        <f>SUMIF('Registro Refacciones'!B:B, I634, 'Registro Refacciones'!I:I)</f>
        <v>0</v>
      </c>
      <c r="P634" s="26">
        <f>Table1[[#This Row],[Costo Servicio]]+Table1[[#This Row],[Refacciones]]</f>
        <v>0</v>
      </c>
      <c r="Q634" s="26"/>
    </row>
    <row r="635" spans="1:17">
      <c r="A635" s="37" t="str">
        <f>IF(Table1[[#This Row],[Tipo de Servicio]]="","",Caratula!$D$15)</f>
        <v/>
      </c>
      <c r="B635" s="37" t="str">
        <f>IF(Table1[[#This Row],[Tipo de Servicio]]="","",Caratula!$D$16)</f>
        <v/>
      </c>
      <c r="C635" s="24" t="str">
        <f>IF(Table1[[#This Row],[Tipo de Servicio]]="","",Caratula!$D$17)</f>
        <v/>
      </c>
      <c r="D635" s="38" t="str">
        <f>IF(ISBLANK(Table1[[#This Row],[Tipo de Servicio]]),"",Caratula!$D$16)</f>
        <v/>
      </c>
      <c r="F635" t="str">
        <f>_xlfn.XLOOKUP(Table1[[#This Row],[SelGZ]]&amp;Table1[[#This Row],[Tipo de Servicio]],CatPEP!A:A,CatPEP!C:C,"")</f>
        <v/>
      </c>
      <c r="G635" t="str">
        <f>_xlfn.XLOOKUP(Table1[[#This Row],[PEP]],CatPEP!C:C,CatPEP!D:D,"")</f>
        <v/>
      </c>
      <c r="O635" s="53">
        <f>SUMIF('Registro Refacciones'!B:B, I635, 'Registro Refacciones'!I:I)</f>
        <v>0</v>
      </c>
      <c r="P635" s="26">
        <f>Table1[[#This Row],[Costo Servicio]]+Table1[[#This Row],[Refacciones]]</f>
        <v>0</v>
      </c>
      <c r="Q635" s="26"/>
    </row>
    <row r="636" spans="1:17">
      <c r="A636" s="37" t="str">
        <f>IF(Table1[[#This Row],[Tipo de Servicio]]="","",Caratula!$D$15)</f>
        <v/>
      </c>
      <c r="B636" s="37" t="str">
        <f>IF(Table1[[#This Row],[Tipo de Servicio]]="","",Caratula!$D$16)</f>
        <v/>
      </c>
      <c r="C636" s="24" t="str">
        <f>IF(Table1[[#This Row],[Tipo de Servicio]]="","",Caratula!$D$17)</f>
        <v/>
      </c>
      <c r="D636" s="38" t="str">
        <f>IF(ISBLANK(Table1[[#This Row],[Tipo de Servicio]]),"",Caratula!$D$16)</f>
        <v/>
      </c>
      <c r="F636" t="str">
        <f>_xlfn.XLOOKUP(Table1[[#This Row],[SelGZ]]&amp;Table1[[#This Row],[Tipo de Servicio]],CatPEP!A:A,CatPEP!C:C,"")</f>
        <v/>
      </c>
      <c r="G636" t="str">
        <f>_xlfn.XLOOKUP(Table1[[#This Row],[PEP]],CatPEP!C:C,CatPEP!D:D,"")</f>
        <v/>
      </c>
      <c r="O636" s="53">
        <f>SUMIF('Registro Refacciones'!B:B, I636, 'Registro Refacciones'!I:I)</f>
        <v>0</v>
      </c>
      <c r="P636" s="26">
        <f>Table1[[#This Row],[Costo Servicio]]+Table1[[#This Row],[Refacciones]]</f>
        <v>0</v>
      </c>
      <c r="Q636" s="26"/>
    </row>
    <row r="637" spans="1:17">
      <c r="A637" s="37" t="str">
        <f>IF(Table1[[#This Row],[Tipo de Servicio]]="","",Caratula!$D$15)</f>
        <v/>
      </c>
      <c r="B637" s="37" t="str">
        <f>IF(Table1[[#This Row],[Tipo de Servicio]]="","",Caratula!$D$16)</f>
        <v/>
      </c>
      <c r="C637" s="24" t="str">
        <f>IF(Table1[[#This Row],[Tipo de Servicio]]="","",Caratula!$D$17)</f>
        <v/>
      </c>
      <c r="D637" s="38" t="str">
        <f>IF(ISBLANK(Table1[[#This Row],[Tipo de Servicio]]),"",Caratula!$D$16)</f>
        <v/>
      </c>
      <c r="F637" t="str">
        <f>_xlfn.XLOOKUP(Table1[[#This Row],[SelGZ]]&amp;Table1[[#This Row],[Tipo de Servicio]],CatPEP!A:A,CatPEP!C:C,"")</f>
        <v/>
      </c>
      <c r="G637" t="str">
        <f>_xlfn.XLOOKUP(Table1[[#This Row],[PEP]],CatPEP!C:C,CatPEP!D:D,"")</f>
        <v/>
      </c>
      <c r="O637" s="53">
        <f>SUMIF('Registro Refacciones'!B:B, I637, 'Registro Refacciones'!I:I)</f>
        <v>0</v>
      </c>
      <c r="P637" s="26">
        <f>Table1[[#This Row],[Costo Servicio]]+Table1[[#This Row],[Refacciones]]</f>
        <v>0</v>
      </c>
      <c r="Q637" s="26"/>
    </row>
    <row r="638" spans="1:17">
      <c r="A638" s="37" t="str">
        <f>IF(Table1[[#This Row],[Tipo de Servicio]]="","",Caratula!$D$15)</f>
        <v/>
      </c>
      <c r="B638" s="37" t="str">
        <f>IF(Table1[[#This Row],[Tipo de Servicio]]="","",Caratula!$D$16)</f>
        <v/>
      </c>
      <c r="C638" s="24" t="str">
        <f>IF(Table1[[#This Row],[Tipo de Servicio]]="","",Caratula!$D$17)</f>
        <v/>
      </c>
      <c r="D638" s="38" t="str">
        <f>IF(ISBLANK(Table1[[#This Row],[Tipo de Servicio]]),"",Caratula!$D$16)</f>
        <v/>
      </c>
      <c r="F638" t="str">
        <f>_xlfn.XLOOKUP(Table1[[#This Row],[SelGZ]]&amp;Table1[[#This Row],[Tipo de Servicio]],CatPEP!A:A,CatPEP!C:C,"")</f>
        <v/>
      </c>
      <c r="G638" t="str">
        <f>_xlfn.XLOOKUP(Table1[[#This Row],[PEP]],CatPEP!C:C,CatPEP!D:D,"")</f>
        <v/>
      </c>
      <c r="O638" s="53">
        <f>SUMIF('Registro Refacciones'!B:B, I638, 'Registro Refacciones'!I:I)</f>
        <v>0</v>
      </c>
      <c r="P638" s="26">
        <f>Table1[[#This Row],[Costo Servicio]]+Table1[[#This Row],[Refacciones]]</f>
        <v>0</v>
      </c>
      <c r="Q638" s="26"/>
    </row>
    <row r="639" spans="1:17">
      <c r="A639" s="37" t="str">
        <f>IF(Table1[[#This Row],[Tipo de Servicio]]="","",Caratula!$D$15)</f>
        <v/>
      </c>
      <c r="B639" s="37" t="str">
        <f>IF(Table1[[#This Row],[Tipo de Servicio]]="","",Caratula!$D$16)</f>
        <v/>
      </c>
      <c r="C639" s="24" t="str">
        <f>IF(Table1[[#This Row],[Tipo de Servicio]]="","",Caratula!$D$17)</f>
        <v/>
      </c>
      <c r="D639" s="38" t="str">
        <f>IF(ISBLANK(Table1[[#This Row],[Tipo de Servicio]]),"",Caratula!$D$16)</f>
        <v/>
      </c>
      <c r="F639" t="str">
        <f>_xlfn.XLOOKUP(Table1[[#This Row],[SelGZ]]&amp;Table1[[#This Row],[Tipo de Servicio]],CatPEP!A:A,CatPEP!C:C,"")</f>
        <v/>
      </c>
      <c r="G639" t="str">
        <f>_xlfn.XLOOKUP(Table1[[#This Row],[PEP]],CatPEP!C:C,CatPEP!D:D,"")</f>
        <v/>
      </c>
      <c r="O639" s="53">
        <f>SUMIF('Registro Refacciones'!B:B, I639, 'Registro Refacciones'!I:I)</f>
        <v>0</v>
      </c>
      <c r="P639" s="26">
        <f>Table1[[#This Row],[Costo Servicio]]+Table1[[#This Row],[Refacciones]]</f>
        <v>0</v>
      </c>
      <c r="Q639" s="26"/>
    </row>
    <row r="640" spans="1:17">
      <c r="A640" s="37" t="str">
        <f>IF(Table1[[#This Row],[Tipo de Servicio]]="","",Caratula!$D$15)</f>
        <v/>
      </c>
      <c r="B640" s="37" t="str">
        <f>IF(Table1[[#This Row],[Tipo de Servicio]]="","",Caratula!$D$16)</f>
        <v/>
      </c>
      <c r="C640" s="24" t="str">
        <f>IF(Table1[[#This Row],[Tipo de Servicio]]="","",Caratula!$D$17)</f>
        <v/>
      </c>
      <c r="D640" s="38" t="str">
        <f>IF(ISBLANK(Table1[[#This Row],[Tipo de Servicio]]),"",Caratula!$D$16)</f>
        <v/>
      </c>
      <c r="F640" t="str">
        <f>_xlfn.XLOOKUP(Table1[[#This Row],[SelGZ]]&amp;Table1[[#This Row],[Tipo de Servicio]],CatPEP!A:A,CatPEP!C:C,"")</f>
        <v/>
      </c>
      <c r="G640" t="str">
        <f>_xlfn.XLOOKUP(Table1[[#This Row],[PEP]],CatPEP!C:C,CatPEP!D:D,"")</f>
        <v/>
      </c>
      <c r="O640" s="53">
        <f>SUMIF('Registro Refacciones'!B:B, I640, 'Registro Refacciones'!I:I)</f>
        <v>0</v>
      </c>
      <c r="P640" s="26">
        <f>Table1[[#This Row],[Costo Servicio]]+Table1[[#This Row],[Refacciones]]</f>
        <v>0</v>
      </c>
      <c r="Q640" s="26"/>
    </row>
    <row r="641" spans="1:17">
      <c r="A641" s="37" t="str">
        <f>IF(Table1[[#This Row],[Tipo de Servicio]]="","",Caratula!$D$15)</f>
        <v/>
      </c>
      <c r="B641" s="37" t="str">
        <f>IF(Table1[[#This Row],[Tipo de Servicio]]="","",Caratula!$D$16)</f>
        <v/>
      </c>
      <c r="C641" s="24" t="str">
        <f>IF(Table1[[#This Row],[Tipo de Servicio]]="","",Caratula!$D$17)</f>
        <v/>
      </c>
      <c r="D641" s="38" t="str">
        <f>IF(ISBLANK(Table1[[#This Row],[Tipo de Servicio]]),"",Caratula!$D$16)</f>
        <v/>
      </c>
      <c r="F641" t="str">
        <f>_xlfn.XLOOKUP(Table1[[#This Row],[SelGZ]]&amp;Table1[[#This Row],[Tipo de Servicio]],CatPEP!A:A,CatPEP!C:C,"")</f>
        <v/>
      </c>
      <c r="G641" t="str">
        <f>_xlfn.XLOOKUP(Table1[[#This Row],[PEP]],CatPEP!C:C,CatPEP!D:D,"")</f>
        <v/>
      </c>
      <c r="O641" s="53">
        <f>SUMIF('Registro Refacciones'!B:B, I641, 'Registro Refacciones'!I:I)</f>
        <v>0</v>
      </c>
      <c r="P641" s="26">
        <f>Table1[[#This Row],[Costo Servicio]]+Table1[[#This Row],[Refacciones]]</f>
        <v>0</v>
      </c>
      <c r="Q641" s="26"/>
    </row>
    <row r="642" spans="1:17">
      <c r="A642" s="37" t="str">
        <f>IF(Table1[[#This Row],[Tipo de Servicio]]="","",Caratula!$D$15)</f>
        <v/>
      </c>
      <c r="B642" s="37" t="str">
        <f>IF(Table1[[#This Row],[Tipo de Servicio]]="","",Caratula!$D$16)</f>
        <v/>
      </c>
      <c r="C642" s="24" t="str">
        <f>IF(Table1[[#This Row],[Tipo de Servicio]]="","",Caratula!$D$17)</f>
        <v/>
      </c>
      <c r="D642" s="38" t="str">
        <f>IF(ISBLANK(Table1[[#This Row],[Tipo de Servicio]]),"",Caratula!$D$16)</f>
        <v/>
      </c>
      <c r="F642" t="str">
        <f>_xlfn.XLOOKUP(Table1[[#This Row],[SelGZ]]&amp;Table1[[#This Row],[Tipo de Servicio]],CatPEP!A:A,CatPEP!C:C,"")</f>
        <v/>
      </c>
      <c r="G642" t="str">
        <f>_xlfn.XLOOKUP(Table1[[#This Row],[PEP]],CatPEP!C:C,CatPEP!D:D,"")</f>
        <v/>
      </c>
      <c r="O642" s="53">
        <f>SUMIF('Registro Refacciones'!B:B, I642, 'Registro Refacciones'!I:I)</f>
        <v>0</v>
      </c>
      <c r="P642" s="26">
        <f>Table1[[#This Row],[Costo Servicio]]+Table1[[#This Row],[Refacciones]]</f>
        <v>0</v>
      </c>
      <c r="Q642" s="26"/>
    </row>
    <row r="643" spans="1:17">
      <c r="A643" s="37" t="str">
        <f>IF(Table1[[#This Row],[Tipo de Servicio]]="","",Caratula!$D$15)</f>
        <v/>
      </c>
      <c r="B643" s="37" t="str">
        <f>IF(Table1[[#This Row],[Tipo de Servicio]]="","",Caratula!$D$16)</f>
        <v/>
      </c>
      <c r="C643" s="24" t="str">
        <f>IF(Table1[[#This Row],[Tipo de Servicio]]="","",Caratula!$D$17)</f>
        <v/>
      </c>
      <c r="D643" s="38" t="str">
        <f>IF(ISBLANK(Table1[[#This Row],[Tipo de Servicio]]),"",Caratula!$D$16)</f>
        <v/>
      </c>
      <c r="F643" t="str">
        <f>_xlfn.XLOOKUP(Table1[[#This Row],[SelGZ]]&amp;Table1[[#This Row],[Tipo de Servicio]],CatPEP!A:A,CatPEP!C:C,"")</f>
        <v/>
      </c>
      <c r="G643" t="str">
        <f>_xlfn.XLOOKUP(Table1[[#This Row],[PEP]],CatPEP!C:C,CatPEP!D:D,"")</f>
        <v/>
      </c>
      <c r="O643" s="53">
        <f>SUMIF('Registro Refacciones'!B:B, I643, 'Registro Refacciones'!I:I)</f>
        <v>0</v>
      </c>
      <c r="P643" s="26">
        <f>Table1[[#This Row],[Costo Servicio]]+Table1[[#This Row],[Refacciones]]</f>
        <v>0</v>
      </c>
      <c r="Q643" s="26"/>
    </row>
    <row r="644" spans="1:17">
      <c r="A644" s="37" t="str">
        <f>IF(Table1[[#This Row],[Tipo de Servicio]]="","",Caratula!$D$15)</f>
        <v/>
      </c>
      <c r="B644" s="37" t="str">
        <f>IF(Table1[[#This Row],[Tipo de Servicio]]="","",Caratula!$D$16)</f>
        <v/>
      </c>
      <c r="C644" s="24" t="str">
        <f>IF(Table1[[#This Row],[Tipo de Servicio]]="","",Caratula!$D$17)</f>
        <v/>
      </c>
      <c r="D644" s="38" t="str">
        <f>IF(ISBLANK(Table1[[#This Row],[Tipo de Servicio]]),"",Caratula!$D$16)</f>
        <v/>
      </c>
      <c r="F644" t="str">
        <f>_xlfn.XLOOKUP(Table1[[#This Row],[SelGZ]]&amp;Table1[[#This Row],[Tipo de Servicio]],CatPEP!A:A,CatPEP!C:C,"")</f>
        <v/>
      </c>
      <c r="G644" t="str">
        <f>_xlfn.XLOOKUP(Table1[[#This Row],[PEP]],CatPEP!C:C,CatPEP!D:D,"")</f>
        <v/>
      </c>
      <c r="O644" s="53">
        <f>SUMIF('Registro Refacciones'!B:B, I644, 'Registro Refacciones'!I:I)</f>
        <v>0</v>
      </c>
      <c r="P644" s="26">
        <f>Table1[[#This Row],[Costo Servicio]]+Table1[[#This Row],[Refacciones]]</f>
        <v>0</v>
      </c>
      <c r="Q644" s="26"/>
    </row>
    <row r="645" spans="1:17">
      <c r="A645" s="37" t="str">
        <f>IF(Table1[[#This Row],[Tipo de Servicio]]="","",Caratula!$D$15)</f>
        <v/>
      </c>
      <c r="B645" s="37" t="str">
        <f>IF(Table1[[#This Row],[Tipo de Servicio]]="","",Caratula!$D$16)</f>
        <v/>
      </c>
      <c r="C645" s="24" t="str">
        <f>IF(Table1[[#This Row],[Tipo de Servicio]]="","",Caratula!$D$17)</f>
        <v/>
      </c>
      <c r="D645" s="38" t="str">
        <f>IF(ISBLANK(Table1[[#This Row],[Tipo de Servicio]]),"",Caratula!$D$16)</f>
        <v/>
      </c>
      <c r="F645" t="str">
        <f>_xlfn.XLOOKUP(Table1[[#This Row],[SelGZ]]&amp;Table1[[#This Row],[Tipo de Servicio]],CatPEP!A:A,CatPEP!C:C,"")</f>
        <v/>
      </c>
      <c r="G645" t="str">
        <f>_xlfn.XLOOKUP(Table1[[#This Row],[PEP]],CatPEP!C:C,CatPEP!D:D,"")</f>
        <v/>
      </c>
      <c r="O645" s="53">
        <f>SUMIF('Registro Refacciones'!B:B, I645, 'Registro Refacciones'!I:I)</f>
        <v>0</v>
      </c>
      <c r="P645" s="26">
        <f>Table1[[#This Row],[Costo Servicio]]+Table1[[#This Row],[Refacciones]]</f>
        <v>0</v>
      </c>
      <c r="Q645" s="26"/>
    </row>
    <row r="646" spans="1:17">
      <c r="A646" s="37" t="str">
        <f>IF(Table1[[#This Row],[Tipo de Servicio]]="","",Caratula!$D$15)</f>
        <v/>
      </c>
      <c r="B646" s="37" t="str">
        <f>IF(Table1[[#This Row],[Tipo de Servicio]]="","",Caratula!$D$16)</f>
        <v/>
      </c>
      <c r="C646" s="24" t="str">
        <f>IF(Table1[[#This Row],[Tipo de Servicio]]="","",Caratula!$D$17)</f>
        <v/>
      </c>
      <c r="D646" s="38" t="str">
        <f>IF(ISBLANK(Table1[[#This Row],[Tipo de Servicio]]),"",Caratula!$D$16)</f>
        <v/>
      </c>
      <c r="F646" t="str">
        <f>_xlfn.XLOOKUP(Table1[[#This Row],[SelGZ]]&amp;Table1[[#This Row],[Tipo de Servicio]],CatPEP!A:A,CatPEP!C:C,"")</f>
        <v/>
      </c>
      <c r="G646" t="str">
        <f>_xlfn.XLOOKUP(Table1[[#This Row],[PEP]],CatPEP!C:C,CatPEP!D:D,"")</f>
        <v/>
      </c>
      <c r="O646" s="53">
        <f>SUMIF('Registro Refacciones'!B:B, I646, 'Registro Refacciones'!I:I)</f>
        <v>0</v>
      </c>
      <c r="P646" s="26">
        <f>Table1[[#This Row],[Costo Servicio]]+Table1[[#This Row],[Refacciones]]</f>
        <v>0</v>
      </c>
      <c r="Q646" s="26"/>
    </row>
    <row r="647" spans="1:17">
      <c r="A647" s="37" t="str">
        <f>IF(Table1[[#This Row],[Tipo de Servicio]]="","",Caratula!$D$15)</f>
        <v/>
      </c>
      <c r="B647" s="37" t="str">
        <f>IF(Table1[[#This Row],[Tipo de Servicio]]="","",Caratula!$D$16)</f>
        <v/>
      </c>
      <c r="C647" s="24" t="str">
        <f>IF(Table1[[#This Row],[Tipo de Servicio]]="","",Caratula!$D$17)</f>
        <v/>
      </c>
      <c r="D647" s="38" t="str">
        <f>IF(ISBLANK(Table1[[#This Row],[Tipo de Servicio]]),"",Caratula!$D$16)</f>
        <v/>
      </c>
      <c r="F647" t="str">
        <f>_xlfn.XLOOKUP(Table1[[#This Row],[SelGZ]]&amp;Table1[[#This Row],[Tipo de Servicio]],CatPEP!A:A,CatPEP!C:C,"")</f>
        <v/>
      </c>
      <c r="G647" t="str">
        <f>_xlfn.XLOOKUP(Table1[[#This Row],[PEP]],CatPEP!C:C,CatPEP!D:D,"")</f>
        <v/>
      </c>
      <c r="O647" s="53">
        <f>SUMIF('Registro Refacciones'!B:B, I647, 'Registro Refacciones'!I:I)</f>
        <v>0</v>
      </c>
      <c r="P647" s="26">
        <f>Table1[[#This Row],[Costo Servicio]]+Table1[[#This Row],[Refacciones]]</f>
        <v>0</v>
      </c>
      <c r="Q647" s="26"/>
    </row>
    <row r="648" spans="1:17">
      <c r="A648" s="37" t="str">
        <f>IF(Table1[[#This Row],[Tipo de Servicio]]="","",Caratula!$D$15)</f>
        <v/>
      </c>
      <c r="B648" s="37" t="str">
        <f>IF(Table1[[#This Row],[Tipo de Servicio]]="","",Caratula!$D$16)</f>
        <v/>
      </c>
      <c r="C648" s="24" t="str">
        <f>IF(Table1[[#This Row],[Tipo de Servicio]]="","",Caratula!$D$17)</f>
        <v/>
      </c>
      <c r="D648" s="38" t="str">
        <f>IF(ISBLANK(Table1[[#This Row],[Tipo de Servicio]]),"",Caratula!$D$16)</f>
        <v/>
      </c>
      <c r="F648" t="str">
        <f>_xlfn.XLOOKUP(Table1[[#This Row],[SelGZ]]&amp;Table1[[#This Row],[Tipo de Servicio]],CatPEP!A:A,CatPEP!C:C,"")</f>
        <v/>
      </c>
      <c r="G648" t="str">
        <f>_xlfn.XLOOKUP(Table1[[#This Row],[PEP]],CatPEP!C:C,CatPEP!D:D,"")</f>
        <v/>
      </c>
      <c r="O648" s="53">
        <f>SUMIF('Registro Refacciones'!B:B, I648, 'Registro Refacciones'!I:I)</f>
        <v>0</v>
      </c>
      <c r="P648" s="26">
        <f>Table1[[#This Row],[Costo Servicio]]+Table1[[#This Row],[Refacciones]]</f>
        <v>0</v>
      </c>
      <c r="Q648" s="26"/>
    </row>
    <row r="649" spans="1:17">
      <c r="A649" s="37" t="str">
        <f>IF(Table1[[#This Row],[Tipo de Servicio]]="","",Caratula!$D$15)</f>
        <v/>
      </c>
      <c r="B649" s="37" t="str">
        <f>IF(Table1[[#This Row],[Tipo de Servicio]]="","",Caratula!$D$16)</f>
        <v/>
      </c>
      <c r="C649" s="24" t="str">
        <f>IF(Table1[[#This Row],[Tipo de Servicio]]="","",Caratula!$D$17)</f>
        <v/>
      </c>
      <c r="D649" s="38" t="str">
        <f>IF(ISBLANK(Table1[[#This Row],[Tipo de Servicio]]),"",Caratula!$D$16)</f>
        <v/>
      </c>
      <c r="F649" t="str">
        <f>_xlfn.XLOOKUP(Table1[[#This Row],[SelGZ]]&amp;Table1[[#This Row],[Tipo de Servicio]],CatPEP!A:A,CatPEP!C:C,"")</f>
        <v/>
      </c>
      <c r="G649" t="str">
        <f>_xlfn.XLOOKUP(Table1[[#This Row],[PEP]],CatPEP!C:C,CatPEP!D:D,"")</f>
        <v/>
      </c>
      <c r="O649" s="53">
        <f>SUMIF('Registro Refacciones'!B:B, I649, 'Registro Refacciones'!I:I)</f>
        <v>0</v>
      </c>
      <c r="P649" s="26">
        <f>Table1[[#This Row],[Costo Servicio]]+Table1[[#This Row],[Refacciones]]</f>
        <v>0</v>
      </c>
      <c r="Q649" s="26"/>
    </row>
    <row r="650" spans="1:17">
      <c r="A650" s="37" t="str">
        <f>IF(Table1[[#This Row],[Tipo de Servicio]]="","",Caratula!$D$15)</f>
        <v/>
      </c>
      <c r="B650" s="37" t="str">
        <f>IF(Table1[[#This Row],[Tipo de Servicio]]="","",Caratula!$D$16)</f>
        <v/>
      </c>
      <c r="C650" s="24" t="str">
        <f>IF(Table1[[#This Row],[Tipo de Servicio]]="","",Caratula!$D$17)</f>
        <v/>
      </c>
      <c r="D650" s="38" t="str">
        <f>IF(ISBLANK(Table1[[#This Row],[Tipo de Servicio]]),"",Caratula!$D$16)</f>
        <v/>
      </c>
      <c r="F650" t="str">
        <f>_xlfn.XLOOKUP(Table1[[#This Row],[SelGZ]]&amp;Table1[[#This Row],[Tipo de Servicio]],CatPEP!A:A,CatPEP!C:C,"")</f>
        <v/>
      </c>
      <c r="G650" t="str">
        <f>_xlfn.XLOOKUP(Table1[[#This Row],[PEP]],CatPEP!C:C,CatPEP!D:D,"")</f>
        <v/>
      </c>
      <c r="O650" s="53">
        <f>SUMIF('Registro Refacciones'!B:B, I650, 'Registro Refacciones'!I:I)</f>
        <v>0</v>
      </c>
      <c r="P650" s="26">
        <f>Table1[[#This Row],[Costo Servicio]]+Table1[[#This Row],[Refacciones]]</f>
        <v>0</v>
      </c>
      <c r="Q650" s="26"/>
    </row>
    <row r="651" spans="1:17">
      <c r="A651" s="37" t="str">
        <f>IF(Table1[[#This Row],[Tipo de Servicio]]="","",Caratula!$D$15)</f>
        <v/>
      </c>
      <c r="B651" s="37" t="str">
        <f>IF(Table1[[#This Row],[Tipo de Servicio]]="","",Caratula!$D$16)</f>
        <v/>
      </c>
      <c r="C651" s="24" t="str">
        <f>IF(Table1[[#This Row],[Tipo de Servicio]]="","",Caratula!$D$17)</f>
        <v/>
      </c>
      <c r="D651" s="38" t="str">
        <f>IF(ISBLANK(Table1[[#This Row],[Tipo de Servicio]]),"",Caratula!$D$16)</f>
        <v/>
      </c>
      <c r="F651" t="str">
        <f>_xlfn.XLOOKUP(Table1[[#This Row],[SelGZ]]&amp;Table1[[#This Row],[Tipo de Servicio]],CatPEP!A:A,CatPEP!C:C,"")</f>
        <v/>
      </c>
      <c r="G651" t="str">
        <f>_xlfn.XLOOKUP(Table1[[#This Row],[PEP]],CatPEP!C:C,CatPEP!D:D,"")</f>
        <v/>
      </c>
      <c r="O651" s="53">
        <f>SUMIF('Registro Refacciones'!B:B, I651, 'Registro Refacciones'!I:I)</f>
        <v>0</v>
      </c>
      <c r="P651" s="26">
        <f>Table1[[#This Row],[Costo Servicio]]+Table1[[#This Row],[Refacciones]]</f>
        <v>0</v>
      </c>
      <c r="Q651" s="26"/>
    </row>
    <row r="652" spans="1:17">
      <c r="A652" s="37" t="str">
        <f>IF(Table1[[#This Row],[Tipo de Servicio]]="","",Caratula!$D$15)</f>
        <v/>
      </c>
      <c r="B652" s="37" t="str">
        <f>IF(Table1[[#This Row],[Tipo de Servicio]]="","",Caratula!$D$16)</f>
        <v/>
      </c>
      <c r="C652" s="24" t="str">
        <f>IF(Table1[[#This Row],[Tipo de Servicio]]="","",Caratula!$D$17)</f>
        <v/>
      </c>
      <c r="D652" s="38" t="str">
        <f>IF(ISBLANK(Table1[[#This Row],[Tipo de Servicio]]),"",Caratula!$D$16)</f>
        <v/>
      </c>
      <c r="F652" t="str">
        <f>_xlfn.XLOOKUP(Table1[[#This Row],[SelGZ]]&amp;Table1[[#This Row],[Tipo de Servicio]],CatPEP!A:A,CatPEP!C:C,"")</f>
        <v/>
      </c>
      <c r="G652" t="str">
        <f>_xlfn.XLOOKUP(Table1[[#This Row],[PEP]],CatPEP!C:C,CatPEP!D:D,"")</f>
        <v/>
      </c>
      <c r="O652" s="53">
        <f>SUMIF('Registro Refacciones'!B:B, I652, 'Registro Refacciones'!I:I)</f>
        <v>0</v>
      </c>
      <c r="P652" s="26">
        <f>Table1[[#This Row],[Costo Servicio]]+Table1[[#This Row],[Refacciones]]</f>
        <v>0</v>
      </c>
      <c r="Q652" s="26"/>
    </row>
    <row r="653" spans="1:17">
      <c r="A653" s="37" t="str">
        <f>IF(Table1[[#This Row],[Tipo de Servicio]]="","",Caratula!$D$15)</f>
        <v/>
      </c>
      <c r="B653" s="37" t="str">
        <f>IF(Table1[[#This Row],[Tipo de Servicio]]="","",Caratula!$D$16)</f>
        <v/>
      </c>
      <c r="C653" s="24" t="str">
        <f>IF(Table1[[#This Row],[Tipo de Servicio]]="","",Caratula!$D$17)</f>
        <v/>
      </c>
      <c r="D653" s="38" t="str">
        <f>IF(ISBLANK(Table1[[#This Row],[Tipo de Servicio]]),"",Caratula!$D$16)</f>
        <v/>
      </c>
      <c r="F653" t="str">
        <f>_xlfn.XLOOKUP(Table1[[#This Row],[SelGZ]]&amp;Table1[[#This Row],[Tipo de Servicio]],CatPEP!A:A,CatPEP!C:C,"")</f>
        <v/>
      </c>
      <c r="G653" t="str">
        <f>_xlfn.XLOOKUP(Table1[[#This Row],[PEP]],CatPEP!C:C,CatPEP!D:D,"")</f>
        <v/>
      </c>
      <c r="O653" s="53">
        <f>SUMIF('Registro Refacciones'!B:B, I653, 'Registro Refacciones'!I:I)</f>
        <v>0</v>
      </c>
      <c r="P653" s="26">
        <f>Table1[[#This Row],[Costo Servicio]]+Table1[[#This Row],[Refacciones]]</f>
        <v>0</v>
      </c>
      <c r="Q653" s="26"/>
    </row>
    <row r="654" spans="1:17">
      <c r="A654" s="37" t="str">
        <f>IF(Table1[[#This Row],[Tipo de Servicio]]="","",Caratula!$D$15)</f>
        <v/>
      </c>
      <c r="B654" s="37" t="str">
        <f>IF(Table1[[#This Row],[Tipo de Servicio]]="","",Caratula!$D$16)</f>
        <v/>
      </c>
      <c r="C654" s="24" t="str">
        <f>IF(Table1[[#This Row],[Tipo de Servicio]]="","",Caratula!$D$17)</f>
        <v/>
      </c>
      <c r="D654" s="38" t="str">
        <f>IF(ISBLANK(Table1[[#This Row],[Tipo de Servicio]]),"",Caratula!$D$16)</f>
        <v/>
      </c>
      <c r="F654" t="str">
        <f>_xlfn.XLOOKUP(Table1[[#This Row],[SelGZ]]&amp;Table1[[#This Row],[Tipo de Servicio]],CatPEP!A:A,CatPEP!C:C,"")</f>
        <v/>
      </c>
      <c r="G654" t="str">
        <f>_xlfn.XLOOKUP(Table1[[#This Row],[PEP]],CatPEP!C:C,CatPEP!D:D,"")</f>
        <v/>
      </c>
      <c r="O654" s="53">
        <f>SUMIF('Registro Refacciones'!B:B, I654, 'Registro Refacciones'!I:I)</f>
        <v>0</v>
      </c>
      <c r="P654" s="26">
        <f>Table1[[#This Row],[Costo Servicio]]+Table1[[#This Row],[Refacciones]]</f>
        <v>0</v>
      </c>
      <c r="Q654" s="26"/>
    </row>
    <row r="655" spans="1:17">
      <c r="A655" s="37" t="str">
        <f>IF(Table1[[#This Row],[Tipo de Servicio]]="","",Caratula!$D$15)</f>
        <v/>
      </c>
      <c r="B655" s="37" t="str">
        <f>IF(Table1[[#This Row],[Tipo de Servicio]]="","",Caratula!$D$16)</f>
        <v/>
      </c>
      <c r="C655" s="24" t="str">
        <f>IF(Table1[[#This Row],[Tipo de Servicio]]="","",Caratula!$D$17)</f>
        <v/>
      </c>
      <c r="D655" s="38" t="str">
        <f>IF(ISBLANK(Table1[[#This Row],[Tipo de Servicio]]),"",Caratula!$D$16)</f>
        <v/>
      </c>
      <c r="F655" t="str">
        <f>_xlfn.XLOOKUP(Table1[[#This Row],[SelGZ]]&amp;Table1[[#This Row],[Tipo de Servicio]],CatPEP!A:A,CatPEP!C:C,"")</f>
        <v/>
      </c>
      <c r="G655" t="str">
        <f>_xlfn.XLOOKUP(Table1[[#This Row],[PEP]],CatPEP!C:C,CatPEP!D:D,"")</f>
        <v/>
      </c>
      <c r="O655" s="53">
        <f>SUMIF('Registro Refacciones'!B:B, I655, 'Registro Refacciones'!I:I)</f>
        <v>0</v>
      </c>
      <c r="P655" s="26">
        <f>Table1[[#This Row],[Costo Servicio]]+Table1[[#This Row],[Refacciones]]</f>
        <v>0</v>
      </c>
      <c r="Q655" s="26"/>
    </row>
    <row r="656" spans="1:17">
      <c r="A656" s="37" t="str">
        <f>IF(Table1[[#This Row],[Tipo de Servicio]]="","",Caratula!$D$15)</f>
        <v/>
      </c>
      <c r="B656" s="37" t="str">
        <f>IF(Table1[[#This Row],[Tipo de Servicio]]="","",Caratula!$D$16)</f>
        <v/>
      </c>
      <c r="C656" s="24" t="str">
        <f>IF(Table1[[#This Row],[Tipo de Servicio]]="","",Caratula!$D$17)</f>
        <v/>
      </c>
      <c r="D656" s="38" t="str">
        <f>IF(ISBLANK(Table1[[#This Row],[Tipo de Servicio]]),"",Caratula!$D$16)</f>
        <v/>
      </c>
      <c r="F656" t="str">
        <f>_xlfn.XLOOKUP(Table1[[#This Row],[SelGZ]]&amp;Table1[[#This Row],[Tipo de Servicio]],CatPEP!A:A,CatPEP!C:C,"")</f>
        <v/>
      </c>
      <c r="G656" t="str">
        <f>_xlfn.XLOOKUP(Table1[[#This Row],[PEP]],CatPEP!C:C,CatPEP!D:D,"")</f>
        <v/>
      </c>
      <c r="O656" s="53">
        <f>SUMIF('Registro Refacciones'!B:B, I656, 'Registro Refacciones'!I:I)</f>
        <v>0</v>
      </c>
      <c r="P656" s="26">
        <f>Table1[[#This Row],[Costo Servicio]]+Table1[[#This Row],[Refacciones]]</f>
        <v>0</v>
      </c>
      <c r="Q656" s="26"/>
    </row>
    <row r="657" spans="1:17">
      <c r="A657" s="37" t="str">
        <f>IF(Table1[[#This Row],[Tipo de Servicio]]="","",Caratula!$D$15)</f>
        <v/>
      </c>
      <c r="B657" s="37" t="str">
        <f>IF(Table1[[#This Row],[Tipo de Servicio]]="","",Caratula!$D$16)</f>
        <v/>
      </c>
      <c r="C657" s="24" t="str">
        <f>IF(Table1[[#This Row],[Tipo de Servicio]]="","",Caratula!$D$17)</f>
        <v/>
      </c>
      <c r="D657" s="38" t="str">
        <f>IF(ISBLANK(Table1[[#This Row],[Tipo de Servicio]]),"",Caratula!$D$16)</f>
        <v/>
      </c>
      <c r="F657" t="str">
        <f>_xlfn.XLOOKUP(Table1[[#This Row],[SelGZ]]&amp;Table1[[#This Row],[Tipo de Servicio]],CatPEP!A:A,CatPEP!C:C,"")</f>
        <v/>
      </c>
      <c r="G657" t="str">
        <f>_xlfn.XLOOKUP(Table1[[#This Row],[PEP]],CatPEP!C:C,CatPEP!D:D,"")</f>
        <v/>
      </c>
      <c r="O657" s="53">
        <f>SUMIF('Registro Refacciones'!B:B, I657, 'Registro Refacciones'!I:I)</f>
        <v>0</v>
      </c>
      <c r="P657" s="26">
        <f>Table1[[#This Row],[Costo Servicio]]+Table1[[#This Row],[Refacciones]]</f>
        <v>0</v>
      </c>
      <c r="Q657" s="26"/>
    </row>
    <row r="658" spans="1:17">
      <c r="A658" s="37" t="str">
        <f>IF(Table1[[#This Row],[Tipo de Servicio]]="","",Caratula!$D$15)</f>
        <v/>
      </c>
      <c r="B658" s="37" t="str">
        <f>IF(Table1[[#This Row],[Tipo de Servicio]]="","",Caratula!$D$16)</f>
        <v/>
      </c>
      <c r="C658" s="24" t="str">
        <f>IF(Table1[[#This Row],[Tipo de Servicio]]="","",Caratula!$D$17)</f>
        <v/>
      </c>
      <c r="D658" s="38" t="str">
        <f>IF(ISBLANK(Table1[[#This Row],[Tipo de Servicio]]),"",Caratula!$D$16)</f>
        <v/>
      </c>
      <c r="F658" t="str">
        <f>_xlfn.XLOOKUP(Table1[[#This Row],[SelGZ]]&amp;Table1[[#This Row],[Tipo de Servicio]],CatPEP!A:A,CatPEP!C:C,"")</f>
        <v/>
      </c>
      <c r="G658" t="str">
        <f>_xlfn.XLOOKUP(Table1[[#This Row],[PEP]],CatPEP!C:C,CatPEP!D:D,"")</f>
        <v/>
      </c>
      <c r="O658" s="53">
        <f>SUMIF('Registro Refacciones'!B:B, I658, 'Registro Refacciones'!I:I)</f>
        <v>0</v>
      </c>
      <c r="P658" s="26">
        <f>Table1[[#This Row],[Costo Servicio]]+Table1[[#This Row],[Refacciones]]</f>
        <v>0</v>
      </c>
      <c r="Q658" s="26"/>
    </row>
    <row r="659" spans="1:17">
      <c r="A659" s="37" t="str">
        <f>IF(Table1[[#This Row],[Tipo de Servicio]]="","",Caratula!$D$15)</f>
        <v/>
      </c>
      <c r="B659" s="37" t="str">
        <f>IF(Table1[[#This Row],[Tipo de Servicio]]="","",Caratula!$D$16)</f>
        <v/>
      </c>
      <c r="C659" s="24" t="str">
        <f>IF(Table1[[#This Row],[Tipo de Servicio]]="","",Caratula!$D$17)</f>
        <v/>
      </c>
      <c r="D659" s="38" t="str">
        <f>IF(ISBLANK(Table1[[#This Row],[Tipo de Servicio]]),"",Caratula!$D$16)</f>
        <v/>
      </c>
      <c r="F659" t="str">
        <f>_xlfn.XLOOKUP(Table1[[#This Row],[SelGZ]]&amp;Table1[[#This Row],[Tipo de Servicio]],CatPEP!A:A,CatPEP!C:C,"")</f>
        <v/>
      </c>
      <c r="G659" t="str">
        <f>_xlfn.XLOOKUP(Table1[[#This Row],[PEP]],CatPEP!C:C,CatPEP!D:D,"")</f>
        <v/>
      </c>
      <c r="O659" s="53">
        <f>SUMIF('Registro Refacciones'!B:B, I659, 'Registro Refacciones'!I:I)</f>
        <v>0</v>
      </c>
      <c r="P659" s="26">
        <f>Table1[[#This Row],[Costo Servicio]]+Table1[[#This Row],[Refacciones]]</f>
        <v>0</v>
      </c>
      <c r="Q659" s="26"/>
    </row>
    <row r="660" spans="1:17">
      <c r="A660" s="37" t="str">
        <f>IF(Table1[[#This Row],[Tipo de Servicio]]="","",Caratula!$D$15)</f>
        <v/>
      </c>
      <c r="B660" s="37" t="str">
        <f>IF(Table1[[#This Row],[Tipo de Servicio]]="","",Caratula!$D$16)</f>
        <v/>
      </c>
      <c r="C660" s="24" t="str">
        <f>IF(Table1[[#This Row],[Tipo de Servicio]]="","",Caratula!$D$17)</f>
        <v/>
      </c>
      <c r="D660" s="38" t="str">
        <f>IF(ISBLANK(Table1[[#This Row],[Tipo de Servicio]]),"",Caratula!$D$16)</f>
        <v/>
      </c>
      <c r="F660" t="str">
        <f>_xlfn.XLOOKUP(Table1[[#This Row],[SelGZ]]&amp;Table1[[#This Row],[Tipo de Servicio]],CatPEP!A:A,CatPEP!C:C,"")</f>
        <v/>
      </c>
      <c r="G660" t="str">
        <f>_xlfn.XLOOKUP(Table1[[#This Row],[PEP]],CatPEP!C:C,CatPEP!D:D,"")</f>
        <v/>
      </c>
      <c r="O660" s="53">
        <f>SUMIF('Registro Refacciones'!B:B, I660, 'Registro Refacciones'!I:I)</f>
        <v>0</v>
      </c>
      <c r="P660" s="26">
        <f>Table1[[#This Row],[Costo Servicio]]+Table1[[#This Row],[Refacciones]]</f>
        <v>0</v>
      </c>
      <c r="Q660" s="26"/>
    </row>
    <row r="661" spans="1:17">
      <c r="A661" s="37" t="str">
        <f>IF(Table1[[#This Row],[Tipo de Servicio]]="","",Caratula!$D$15)</f>
        <v/>
      </c>
      <c r="B661" s="37" t="str">
        <f>IF(Table1[[#This Row],[Tipo de Servicio]]="","",Caratula!$D$16)</f>
        <v/>
      </c>
      <c r="C661" s="24" t="str">
        <f>IF(Table1[[#This Row],[Tipo de Servicio]]="","",Caratula!$D$17)</f>
        <v/>
      </c>
      <c r="D661" s="38" t="str">
        <f>IF(ISBLANK(Table1[[#This Row],[Tipo de Servicio]]),"",Caratula!$D$16)</f>
        <v/>
      </c>
      <c r="F661" t="str">
        <f>_xlfn.XLOOKUP(Table1[[#This Row],[SelGZ]]&amp;Table1[[#This Row],[Tipo de Servicio]],CatPEP!A:A,CatPEP!C:C,"")</f>
        <v/>
      </c>
      <c r="G661" t="str">
        <f>_xlfn.XLOOKUP(Table1[[#This Row],[PEP]],CatPEP!C:C,CatPEP!D:D,"")</f>
        <v/>
      </c>
      <c r="O661" s="53">
        <f>SUMIF('Registro Refacciones'!B:B, I661, 'Registro Refacciones'!I:I)</f>
        <v>0</v>
      </c>
      <c r="P661" s="26">
        <f>Table1[[#This Row],[Costo Servicio]]+Table1[[#This Row],[Refacciones]]</f>
        <v>0</v>
      </c>
      <c r="Q661" s="26"/>
    </row>
    <row r="662" spans="1:17">
      <c r="A662" s="37" t="str">
        <f>IF(Table1[[#This Row],[Tipo de Servicio]]="","",Caratula!$D$15)</f>
        <v/>
      </c>
      <c r="B662" s="37" t="str">
        <f>IF(Table1[[#This Row],[Tipo de Servicio]]="","",Caratula!$D$16)</f>
        <v/>
      </c>
      <c r="C662" s="24" t="str">
        <f>IF(Table1[[#This Row],[Tipo de Servicio]]="","",Caratula!$D$17)</f>
        <v/>
      </c>
      <c r="D662" s="38" t="str">
        <f>IF(ISBLANK(Table1[[#This Row],[Tipo de Servicio]]),"",Caratula!$D$16)</f>
        <v/>
      </c>
      <c r="F662" t="str">
        <f>_xlfn.XLOOKUP(Table1[[#This Row],[SelGZ]]&amp;Table1[[#This Row],[Tipo de Servicio]],CatPEP!A:A,CatPEP!C:C,"")</f>
        <v/>
      </c>
      <c r="G662" t="str">
        <f>_xlfn.XLOOKUP(Table1[[#This Row],[PEP]],CatPEP!C:C,CatPEP!D:D,"")</f>
        <v/>
      </c>
      <c r="O662" s="53">
        <f>SUMIF('Registro Refacciones'!B:B, I662, 'Registro Refacciones'!I:I)</f>
        <v>0</v>
      </c>
      <c r="P662" s="26">
        <f>Table1[[#This Row],[Costo Servicio]]+Table1[[#This Row],[Refacciones]]</f>
        <v>0</v>
      </c>
      <c r="Q662" s="26"/>
    </row>
    <row r="663" spans="1:17">
      <c r="A663" s="37" t="str">
        <f>IF(Table1[[#This Row],[Tipo de Servicio]]="","",Caratula!$D$15)</f>
        <v/>
      </c>
      <c r="B663" s="37" t="str">
        <f>IF(Table1[[#This Row],[Tipo de Servicio]]="","",Caratula!$D$16)</f>
        <v/>
      </c>
      <c r="C663" s="24" t="str">
        <f>IF(Table1[[#This Row],[Tipo de Servicio]]="","",Caratula!$D$17)</f>
        <v/>
      </c>
      <c r="D663" s="38" t="str">
        <f>IF(ISBLANK(Table1[[#This Row],[Tipo de Servicio]]),"",Caratula!$D$16)</f>
        <v/>
      </c>
      <c r="F663" t="str">
        <f>_xlfn.XLOOKUP(Table1[[#This Row],[SelGZ]]&amp;Table1[[#This Row],[Tipo de Servicio]],CatPEP!A:A,CatPEP!C:C,"")</f>
        <v/>
      </c>
      <c r="G663" t="str">
        <f>_xlfn.XLOOKUP(Table1[[#This Row],[PEP]],CatPEP!C:C,CatPEP!D:D,"")</f>
        <v/>
      </c>
      <c r="O663" s="53">
        <f>SUMIF('Registro Refacciones'!B:B, I663, 'Registro Refacciones'!I:I)</f>
        <v>0</v>
      </c>
      <c r="P663" s="26">
        <f>Table1[[#This Row],[Costo Servicio]]+Table1[[#This Row],[Refacciones]]</f>
        <v>0</v>
      </c>
      <c r="Q663" s="26"/>
    </row>
    <row r="664" spans="1:17">
      <c r="A664" s="37" t="str">
        <f>IF(Table1[[#This Row],[Tipo de Servicio]]="","",Caratula!$D$15)</f>
        <v/>
      </c>
      <c r="B664" s="37" t="str">
        <f>IF(Table1[[#This Row],[Tipo de Servicio]]="","",Caratula!$D$16)</f>
        <v/>
      </c>
      <c r="C664" s="24" t="str">
        <f>IF(Table1[[#This Row],[Tipo de Servicio]]="","",Caratula!$D$17)</f>
        <v/>
      </c>
      <c r="D664" s="38" t="str">
        <f>IF(ISBLANK(Table1[[#This Row],[Tipo de Servicio]]),"",Caratula!$D$16)</f>
        <v/>
      </c>
      <c r="F664" t="str">
        <f>_xlfn.XLOOKUP(Table1[[#This Row],[SelGZ]]&amp;Table1[[#This Row],[Tipo de Servicio]],CatPEP!A:A,CatPEP!C:C,"")</f>
        <v/>
      </c>
      <c r="G664" t="str">
        <f>_xlfn.XLOOKUP(Table1[[#This Row],[PEP]],CatPEP!C:C,CatPEP!D:D,"")</f>
        <v/>
      </c>
      <c r="O664" s="53">
        <f>SUMIF('Registro Refacciones'!B:B, I664, 'Registro Refacciones'!I:I)</f>
        <v>0</v>
      </c>
      <c r="P664" s="26">
        <f>Table1[[#This Row],[Costo Servicio]]+Table1[[#This Row],[Refacciones]]</f>
        <v>0</v>
      </c>
      <c r="Q664" s="26"/>
    </row>
    <row r="665" spans="1:17">
      <c r="A665" s="37" t="str">
        <f>IF(Table1[[#This Row],[Tipo de Servicio]]="","",Caratula!$D$15)</f>
        <v/>
      </c>
      <c r="B665" s="37" t="str">
        <f>IF(Table1[[#This Row],[Tipo de Servicio]]="","",Caratula!$D$16)</f>
        <v/>
      </c>
      <c r="C665" s="24" t="str">
        <f>IF(Table1[[#This Row],[Tipo de Servicio]]="","",Caratula!$D$17)</f>
        <v/>
      </c>
      <c r="D665" s="38" t="str">
        <f>IF(ISBLANK(Table1[[#This Row],[Tipo de Servicio]]),"",Caratula!$D$16)</f>
        <v/>
      </c>
      <c r="F665" t="str">
        <f>_xlfn.XLOOKUP(Table1[[#This Row],[SelGZ]]&amp;Table1[[#This Row],[Tipo de Servicio]],CatPEP!A:A,CatPEP!C:C,"")</f>
        <v/>
      </c>
      <c r="G665" t="str">
        <f>_xlfn.XLOOKUP(Table1[[#This Row],[PEP]],CatPEP!C:C,CatPEP!D:D,"")</f>
        <v/>
      </c>
      <c r="O665" s="53">
        <f>SUMIF('Registro Refacciones'!B:B, I665, 'Registro Refacciones'!I:I)</f>
        <v>0</v>
      </c>
      <c r="P665" s="26">
        <f>Table1[[#This Row],[Costo Servicio]]+Table1[[#This Row],[Refacciones]]</f>
        <v>0</v>
      </c>
      <c r="Q665" s="26"/>
    </row>
    <row r="666" spans="1:17">
      <c r="A666" s="37" t="str">
        <f>IF(Table1[[#This Row],[Tipo de Servicio]]="","",Caratula!$D$15)</f>
        <v/>
      </c>
      <c r="B666" s="37" t="str">
        <f>IF(Table1[[#This Row],[Tipo de Servicio]]="","",Caratula!$D$16)</f>
        <v/>
      </c>
      <c r="C666" s="24" t="str">
        <f>IF(Table1[[#This Row],[Tipo de Servicio]]="","",Caratula!$D$17)</f>
        <v/>
      </c>
      <c r="D666" s="38" t="str">
        <f>IF(ISBLANK(Table1[[#This Row],[Tipo de Servicio]]),"",Caratula!$D$16)</f>
        <v/>
      </c>
      <c r="F666" t="str">
        <f>_xlfn.XLOOKUP(Table1[[#This Row],[SelGZ]]&amp;Table1[[#This Row],[Tipo de Servicio]],CatPEP!A:A,CatPEP!C:C,"")</f>
        <v/>
      </c>
      <c r="G666" t="str">
        <f>_xlfn.XLOOKUP(Table1[[#This Row],[PEP]],CatPEP!C:C,CatPEP!D:D,"")</f>
        <v/>
      </c>
      <c r="O666" s="53">
        <f>SUMIF('Registro Refacciones'!B:B, I666, 'Registro Refacciones'!I:I)</f>
        <v>0</v>
      </c>
      <c r="P666" s="26">
        <f>Table1[[#This Row],[Costo Servicio]]+Table1[[#This Row],[Refacciones]]</f>
        <v>0</v>
      </c>
      <c r="Q666" s="26"/>
    </row>
    <row r="667" spans="1:17">
      <c r="A667" s="37" t="str">
        <f>IF(Table1[[#This Row],[Tipo de Servicio]]="","",Caratula!$D$15)</f>
        <v/>
      </c>
      <c r="B667" s="37" t="str">
        <f>IF(Table1[[#This Row],[Tipo de Servicio]]="","",Caratula!$D$16)</f>
        <v/>
      </c>
      <c r="C667" s="24" t="str">
        <f>IF(Table1[[#This Row],[Tipo de Servicio]]="","",Caratula!$D$17)</f>
        <v/>
      </c>
      <c r="D667" s="38" t="str">
        <f>IF(ISBLANK(Table1[[#This Row],[Tipo de Servicio]]),"",Caratula!$D$16)</f>
        <v/>
      </c>
      <c r="F667" t="str">
        <f>_xlfn.XLOOKUP(Table1[[#This Row],[SelGZ]]&amp;Table1[[#This Row],[Tipo de Servicio]],CatPEP!A:A,CatPEP!C:C,"")</f>
        <v/>
      </c>
      <c r="G667" t="str">
        <f>_xlfn.XLOOKUP(Table1[[#This Row],[PEP]],CatPEP!C:C,CatPEP!D:D,"")</f>
        <v/>
      </c>
      <c r="O667" s="53">
        <f>SUMIF('Registro Refacciones'!B:B, I667, 'Registro Refacciones'!I:I)</f>
        <v>0</v>
      </c>
      <c r="P667" s="26">
        <f>Table1[[#This Row],[Costo Servicio]]+Table1[[#This Row],[Refacciones]]</f>
        <v>0</v>
      </c>
      <c r="Q667" s="26"/>
    </row>
    <row r="668" spans="1:17">
      <c r="A668" s="37" t="str">
        <f>IF(Table1[[#This Row],[Tipo de Servicio]]="","",Caratula!$D$15)</f>
        <v/>
      </c>
      <c r="B668" s="37" t="str">
        <f>IF(Table1[[#This Row],[Tipo de Servicio]]="","",Caratula!$D$16)</f>
        <v/>
      </c>
      <c r="C668" s="24" t="str">
        <f>IF(Table1[[#This Row],[Tipo de Servicio]]="","",Caratula!$D$17)</f>
        <v/>
      </c>
      <c r="D668" s="38" t="str">
        <f>IF(ISBLANK(Table1[[#This Row],[Tipo de Servicio]]),"",Caratula!$D$16)</f>
        <v/>
      </c>
      <c r="F668" t="str">
        <f>_xlfn.XLOOKUP(Table1[[#This Row],[SelGZ]]&amp;Table1[[#This Row],[Tipo de Servicio]],CatPEP!A:A,CatPEP!C:C,"")</f>
        <v/>
      </c>
      <c r="G668" t="str">
        <f>_xlfn.XLOOKUP(Table1[[#This Row],[PEP]],CatPEP!C:C,CatPEP!D:D,"")</f>
        <v/>
      </c>
      <c r="O668" s="53">
        <f>SUMIF('Registro Refacciones'!B:B, I668, 'Registro Refacciones'!I:I)</f>
        <v>0</v>
      </c>
      <c r="P668" s="26">
        <f>Table1[[#This Row],[Costo Servicio]]+Table1[[#This Row],[Refacciones]]</f>
        <v>0</v>
      </c>
      <c r="Q668" s="26"/>
    </row>
    <row r="669" spans="1:17">
      <c r="A669" s="37" t="str">
        <f>IF(Table1[[#This Row],[Tipo de Servicio]]="","",Caratula!$D$15)</f>
        <v/>
      </c>
      <c r="B669" s="37" t="str">
        <f>IF(Table1[[#This Row],[Tipo de Servicio]]="","",Caratula!$D$16)</f>
        <v/>
      </c>
      <c r="C669" s="24" t="str">
        <f>IF(Table1[[#This Row],[Tipo de Servicio]]="","",Caratula!$D$17)</f>
        <v/>
      </c>
      <c r="D669" s="38" t="str">
        <f>IF(ISBLANK(Table1[[#This Row],[Tipo de Servicio]]),"",Caratula!$D$16)</f>
        <v/>
      </c>
      <c r="F669" t="str">
        <f>_xlfn.XLOOKUP(Table1[[#This Row],[SelGZ]]&amp;Table1[[#This Row],[Tipo de Servicio]],CatPEP!A:A,CatPEP!C:C,"")</f>
        <v/>
      </c>
      <c r="G669" t="str">
        <f>_xlfn.XLOOKUP(Table1[[#This Row],[PEP]],CatPEP!C:C,CatPEP!D:D,"")</f>
        <v/>
      </c>
      <c r="O669" s="53">
        <f>SUMIF('Registro Refacciones'!B:B, I669, 'Registro Refacciones'!I:I)</f>
        <v>0</v>
      </c>
      <c r="P669" s="26">
        <f>Table1[[#This Row],[Costo Servicio]]+Table1[[#This Row],[Refacciones]]</f>
        <v>0</v>
      </c>
      <c r="Q669" s="26"/>
    </row>
    <row r="670" spans="1:17">
      <c r="A670" s="37" t="str">
        <f>IF(Table1[[#This Row],[Tipo de Servicio]]="","",Caratula!$D$15)</f>
        <v/>
      </c>
      <c r="B670" s="37" t="str">
        <f>IF(Table1[[#This Row],[Tipo de Servicio]]="","",Caratula!$D$16)</f>
        <v/>
      </c>
      <c r="C670" s="24" t="str">
        <f>IF(Table1[[#This Row],[Tipo de Servicio]]="","",Caratula!$D$17)</f>
        <v/>
      </c>
      <c r="D670" s="38" t="str">
        <f>IF(ISBLANK(Table1[[#This Row],[Tipo de Servicio]]),"",Caratula!$D$16)</f>
        <v/>
      </c>
      <c r="F670" t="str">
        <f>_xlfn.XLOOKUP(Table1[[#This Row],[SelGZ]]&amp;Table1[[#This Row],[Tipo de Servicio]],CatPEP!A:A,CatPEP!C:C,"")</f>
        <v/>
      </c>
      <c r="G670" t="str">
        <f>_xlfn.XLOOKUP(Table1[[#This Row],[PEP]],CatPEP!C:C,CatPEP!D:D,"")</f>
        <v/>
      </c>
      <c r="O670" s="53">
        <f>SUMIF('Registro Refacciones'!B:B, I670, 'Registro Refacciones'!I:I)</f>
        <v>0</v>
      </c>
      <c r="P670" s="26">
        <f>Table1[[#This Row],[Costo Servicio]]+Table1[[#This Row],[Refacciones]]</f>
        <v>0</v>
      </c>
      <c r="Q670" s="26"/>
    </row>
    <row r="671" spans="1:17">
      <c r="A671" s="37" t="str">
        <f>IF(Table1[[#This Row],[Tipo de Servicio]]="","",Caratula!$D$15)</f>
        <v/>
      </c>
      <c r="B671" s="37" t="str">
        <f>IF(Table1[[#This Row],[Tipo de Servicio]]="","",Caratula!$D$16)</f>
        <v/>
      </c>
      <c r="C671" s="24" t="str">
        <f>IF(Table1[[#This Row],[Tipo de Servicio]]="","",Caratula!$D$17)</f>
        <v/>
      </c>
      <c r="D671" s="38" t="str">
        <f>IF(ISBLANK(Table1[[#This Row],[Tipo de Servicio]]),"",Caratula!$D$16)</f>
        <v/>
      </c>
      <c r="F671" t="str">
        <f>_xlfn.XLOOKUP(Table1[[#This Row],[SelGZ]]&amp;Table1[[#This Row],[Tipo de Servicio]],CatPEP!A:A,CatPEP!C:C,"")</f>
        <v/>
      </c>
      <c r="G671" t="str">
        <f>_xlfn.XLOOKUP(Table1[[#This Row],[PEP]],CatPEP!C:C,CatPEP!D:D,"")</f>
        <v/>
      </c>
      <c r="O671" s="53">
        <f>SUMIF('Registro Refacciones'!B:B, I671, 'Registro Refacciones'!I:I)</f>
        <v>0</v>
      </c>
      <c r="P671" s="26">
        <f>Table1[[#This Row],[Costo Servicio]]+Table1[[#This Row],[Refacciones]]</f>
        <v>0</v>
      </c>
      <c r="Q671" s="26"/>
    </row>
    <row r="672" spans="1:17">
      <c r="A672" s="37" t="str">
        <f>IF(Table1[[#This Row],[Tipo de Servicio]]="","",Caratula!$D$15)</f>
        <v/>
      </c>
      <c r="B672" s="37" t="str">
        <f>IF(Table1[[#This Row],[Tipo de Servicio]]="","",Caratula!$D$16)</f>
        <v/>
      </c>
      <c r="C672" s="24" t="str">
        <f>IF(Table1[[#This Row],[Tipo de Servicio]]="","",Caratula!$D$17)</f>
        <v/>
      </c>
      <c r="D672" s="38" t="str">
        <f>IF(ISBLANK(Table1[[#This Row],[Tipo de Servicio]]),"",Caratula!$D$16)</f>
        <v/>
      </c>
      <c r="F672" t="str">
        <f>_xlfn.XLOOKUP(Table1[[#This Row],[SelGZ]]&amp;Table1[[#This Row],[Tipo de Servicio]],CatPEP!A:A,CatPEP!C:C,"")</f>
        <v/>
      </c>
      <c r="G672" t="str">
        <f>_xlfn.XLOOKUP(Table1[[#This Row],[PEP]],CatPEP!C:C,CatPEP!D:D,"")</f>
        <v/>
      </c>
      <c r="O672" s="53">
        <f>SUMIF('Registro Refacciones'!B:B, I672, 'Registro Refacciones'!I:I)</f>
        <v>0</v>
      </c>
      <c r="P672" s="26">
        <f>Table1[[#This Row],[Costo Servicio]]+Table1[[#This Row],[Refacciones]]</f>
        <v>0</v>
      </c>
      <c r="Q672" s="26"/>
    </row>
    <row r="673" spans="1:17">
      <c r="A673" s="37" t="str">
        <f>IF(Table1[[#This Row],[Tipo de Servicio]]="","",Caratula!$D$15)</f>
        <v/>
      </c>
      <c r="B673" s="37" t="str">
        <f>IF(Table1[[#This Row],[Tipo de Servicio]]="","",Caratula!$D$16)</f>
        <v/>
      </c>
      <c r="C673" s="24" t="str">
        <f>IF(Table1[[#This Row],[Tipo de Servicio]]="","",Caratula!$D$17)</f>
        <v/>
      </c>
      <c r="D673" s="38" t="str">
        <f>IF(ISBLANK(Table1[[#This Row],[Tipo de Servicio]]),"",Caratula!$D$16)</f>
        <v/>
      </c>
      <c r="F673" t="str">
        <f>_xlfn.XLOOKUP(Table1[[#This Row],[SelGZ]]&amp;Table1[[#This Row],[Tipo de Servicio]],CatPEP!A:A,CatPEP!C:C,"")</f>
        <v/>
      </c>
      <c r="G673" t="str">
        <f>_xlfn.XLOOKUP(Table1[[#This Row],[PEP]],CatPEP!C:C,CatPEP!D:D,"")</f>
        <v/>
      </c>
      <c r="O673" s="53">
        <f>SUMIF('Registro Refacciones'!B:B, I673, 'Registro Refacciones'!I:I)</f>
        <v>0</v>
      </c>
      <c r="P673" s="26">
        <f>Table1[[#This Row],[Costo Servicio]]+Table1[[#This Row],[Refacciones]]</f>
        <v>0</v>
      </c>
      <c r="Q673" s="26"/>
    </row>
    <row r="674" spans="1:17">
      <c r="A674" s="37" t="str">
        <f>IF(Table1[[#This Row],[Tipo de Servicio]]="","",Caratula!$D$15)</f>
        <v/>
      </c>
      <c r="B674" s="37" t="str">
        <f>IF(Table1[[#This Row],[Tipo de Servicio]]="","",Caratula!$D$16)</f>
        <v/>
      </c>
      <c r="C674" s="24" t="str">
        <f>IF(Table1[[#This Row],[Tipo de Servicio]]="","",Caratula!$D$17)</f>
        <v/>
      </c>
      <c r="D674" s="38" t="str">
        <f>IF(ISBLANK(Table1[[#This Row],[Tipo de Servicio]]),"",Caratula!$D$16)</f>
        <v/>
      </c>
      <c r="F674" t="str">
        <f>_xlfn.XLOOKUP(Table1[[#This Row],[SelGZ]]&amp;Table1[[#This Row],[Tipo de Servicio]],CatPEP!A:A,CatPEP!C:C,"")</f>
        <v/>
      </c>
      <c r="G674" t="str">
        <f>_xlfn.XLOOKUP(Table1[[#This Row],[PEP]],CatPEP!C:C,CatPEP!D:D,"")</f>
        <v/>
      </c>
      <c r="O674" s="53">
        <f>SUMIF('Registro Refacciones'!B:B, I674, 'Registro Refacciones'!I:I)</f>
        <v>0</v>
      </c>
      <c r="P674" s="26">
        <f>Table1[[#This Row],[Costo Servicio]]+Table1[[#This Row],[Refacciones]]</f>
        <v>0</v>
      </c>
      <c r="Q674" s="26"/>
    </row>
    <row r="675" spans="1:17">
      <c r="A675" s="37" t="str">
        <f>IF(Table1[[#This Row],[Tipo de Servicio]]="","",Caratula!$D$15)</f>
        <v/>
      </c>
      <c r="B675" s="37" t="str">
        <f>IF(Table1[[#This Row],[Tipo de Servicio]]="","",Caratula!$D$16)</f>
        <v/>
      </c>
      <c r="C675" s="24" t="str">
        <f>IF(Table1[[#This Row],[Tipo de Servicio]]="","",Caratula!$D$17)</f>
        <v/>
      </c>
      <c r="D675" s="38" t="str">
        <f>IF(ISBLANK(Table1[[#This Row],[Tipo de Servicio]]),"",Caratula!$D$16)</f>
        <v/>
      </c>
      <c r="F675" t="str">
        <f>_xlfn.XLOOKUP(Table1[[#This Row],[SelGZ]]&amp;Table1[[#This Row],[Tipo de Servicio]],CatPEP!A:A,CatPEP!C:C,"")</f>
        <v/>
      </c>
      <c r="G675" t="str">
        <f>_xlfn.XLOOKUP(Table1[[#This Row],[PEP]],CatPEP!C:C,CatPEP!D:D,"")</f>
        <v/>
      </c>
      <c r="O675" s="53">
        <f>SUMIF('Registro Refacciones'!B:B, I675, 'Registro Refacciones'!I:I)</f>
        <v>0</v>
      </c>
      <c r="P675" s="26">
        <f>Table1[[#This Row],[Costo Servicio]]+Table1[[#This Row],[Refacciones]]</f>
        <v>0</v>
      </c>
      <c r="Q675" s="26"/>
    </row>
    <row r="676" spans="1:17">
      <c r="A676" s="37" t="str">
        <f>IF(Table1[[#This Row],[Tipo de Servicio]]="","",Caratula!$D$15)</f>
        <v/>
      </c>
      <c r="B676" s="37" t="str">
        <f>IF(Table1[[#This Row],[Tipo de Servicio]]="","",Caratula!$D$16)</f>
        <v/>
      </c>
      <c r="C676" s="24" t="str">
        <f>IF(Table1[[#This Row],[Tipo de Servicio]]="","",Caratula!$D$17)</f>
        <v/>
      </c>
      <c r="D676" s="38" t="str">
        <f>IF(ISBLANK(Table1[[#This Row],[Tipo de Servicio]]),"",Caratula!$D$16)</f>
        <v/>
      </c>
      <c r="F676" t="str">
        <f>_xlfn.XLOOKUP(Table1[[#This Row],[SelGZ]]&amp;Table1[[#This Row],[Tipo de Servicio]],CatPEP!A:A,CatPEP!C:C,"")</f>
        <v/>
      </c>
      <c r="G676" t="str">
        <f>_xlfn.XLOOKUP(Table1[[#This Row],[PEP]],CatPEP!C:C,CatPEP!D:D,"")</f>
        <v/>
      </c>
      <c r="O676" s="53">
        <f>SUMIF('Registro Refacciones'!B:B, I676, 'Registro Refacciones'!I:I)</f>
        <v>0</v>
      </c>
      <c r="P676" s="26">
        <f>Table1[[#This Row],[Costo Servicio]]+Table1[[#This Row],[Refacciones]]</f>
        <v>0</v>
      </c>
      <c r="Q676" s="26"/>
    </row>
    <row r="677" spans="1:17">
      <c r="A677" s="37" t="str">
        <f>IF(Table1[[#This Row],[Tipo de Servicio]]="","",Caratula!$D$15)</f>
        <v/>
      </c>
      <c r="B677" s="37" t="str">
        <f>IF(Table1[[#This Row],[Tipo de Servicio]]="","",Caratula!$D$16)</f>
        <v/>
      </c>
      <c r="C677" s="24" t="str">
        <f>IF(Table1[[#This Row],[Tipo de Servicio]]="","",Caratula!$D$17)</f>
        <v/>
      </c>
      <c r="D677" s="38" t="str">
        <f>IF(ISBLANK(Table1[[#This Row],[Tipo de Servicio]]),"",Caratula!$D$16)</f>
        <v/>
      </c>
      <c r="F677" t="str">
        <f>_xlfn.XLOOKUP(Table1[[#This Row],[SelGZ]]&amp;Table1[[#This Row],[Tipo de Servicio]],CatPEP!A:A,CatPEP!C:C,"")</f>
        <v/>
      </c>
      <c r="G677" t="str">
        <f>_xlfn.XLOOKUP(Table1[[#This Row],[PEP]],CatPEP!C:C,CatPEP!D:D,"")</f>
        <v/>
      </c>
      <c r="O677" s="53">
        <f>SUMIF('Registro Refacciones'!B:B, I677, 'Registro Refacciones'!I:I)</f>
        <v>0</v>
      </c>
      <c r="P677" s="26">
        <f>Table1[[#This Row],[Costo Servicio]]+Table1[[#This Row],[Refacciones]]</f>
        <v>0</v>
      </c>
      <c r="Q677" s="26"/>
    </row>
    <row r="678" spans="1:17">
      <c r="A678" s="37" t="str">
        <f>IF(Table1[[#This Row],[Tipo de Servicio]]="","",Caratula!$D$15)</f>
        <v/>
      </c>
      <c r="B678" s="37" t="str">
        <f>IF(Table1[[#This Row],[Tipo de Servicio]]="","",Caratula!$D$16)</f>
        <v/>
      </c>
      <c r="C678" s="24" t="str">
        <f>IF(Table1[[#This Row],[Tipo de Servicio]]="","",Caratula!$D$17)</f>
        <v/>
      </c>
      <c r="D678" s="38" t="str">
        <f>IF(ISBLANK(Table1[[#This Row],[Tipo de Servicio]]),"",Caratula!$D$16)</f>
        <v/>
      </c>
      <c r="F678" t="str">
        <f>_xlfn.XLOOKUP(Table1[[#This Row],[SelGZ]]&amp;Table1[[#This Row],[Tipo de Servicio]],CatPEP!A:A,CatPEP!C:C,"")</f>
        <v/>
      </c>
      <c r="G678" t="str">
        <f>_xlfn.XLOOKUP(Table1[[#This Row],[PEP]],CatPEP!C:C,CatPEP!D:D,"")</f>
        <v/>
      </c>
      <c r="O678" s="53">
        <f>SUMIF('Registro Refacciones'!B:B, I678, 'Registro Refacciones'!I:I)</f>
        <v>0</v>
      </c>
      <c r="P678" s="26">
        <f>Table1[[#This Row],[Costo Servicio]]+Table1[[#This Row],[Refacciones]]</f>
        <v>0</v>
      </c>
      <c r="Q678" s="26"/>
    </row>
    <row r="679" spans="1:17">
      <c r="A679" s="37" t="str">
        <f>IF(Table1[[#This Row],[Tipo de Servicio]]="","",Caratula!$D$15)</f>
        <v/>
      </c>
      <c r="B679" s="37" t="str">
        <f>IF(Table1[[#This Row],[Tipo de Servicio]]="","",Caratula!$D$16)</f>
        <v/>
      </c>
      <c r="C679" s="24" t="str">
        <f>IF(Table1[[#This Row],[Tipo de Servicio]]="","",Caratula!$D$17)</f>
        <v/>
      </c>
      <c r="D679" s="38" t="str">
        <f>IF(ISBLANK(Table1[[#This Row],[Tipo de Servicio]]),"",Caratula!$D$16)</f>
        <v/>
      </c>
      <c r="F679" t="str">
        <f>_xlfn.XLOOKUP(Table1[[#This Row],[SelGZ]]&amp;Table1[[#This Row],[Tipo de Servicio]],CatPEP!A:A,CatPEP!C:C,"")</f>
        <v/>
      </c>
      <c r="G679" t="str">
        <f>_xlfn.XLOOKUP(Table1[[#This Row],[PEP]],CatPEP!C:C,CatPEP!D:D,"")</f>
        <v/>
      </c>
      <c r="O679" s="53">
        <f>SUMIF('Registro Refacciones'!B:B, I679, 'Registro Refacciones'!I:I)</f>
        <v>0</v>
      </c>
      <c r="P679" s="26">
        <f>Table1[[#This Row],[Costo Servicio]]+Table1[[#This Row],[Refacciones]]</f>
        <v>0</v>
      </c>
      <c r="Q679" s="26"/>
    </row>
    <row r="680" spans="1:17">
      <c r="A680" s="37" t="str">
        <f>IF(Table1[[#This Row],[Tipo de Servicio]]="","",Caratula!$D$15)</f>
        <v/>
      </c>
      <c r="B680" s="37" t="str">
        <f>IF(Table1[[#This Row],[Tipo de Servicio]]="","",Caratula!$D$16)</f>
        <v/>
      </c>
      <c r="C680" s="24" t="str">
        <f>IF(Table1[[#This Row],[Tipo de Servicio]]="","",Caratula!$D$17)</f>
        <v/>
      </c>
      <c r="D680" s="38" t="str">
        <f>IF(ISBLANK(Table1[[#This Row],[Tipo de Servicio]]),"",Caratula!$D$16)</f>
        <v/>
      </c>
      <c r="F680" t="str">
        <f>_xlfn.XLOOKUP(Table1[[#This Row],[SelGZ]]&amp;Table1[[#This Row],[Tipo de Servicio]],CatPEP!A:A,CatPEP!C:C,"")</f>
        <v/>
      </c>
      <c r="G680" t="str">
        <f>_xlfn.XLOOKUP(Table1[[#This Row],[PEP]],CatPEP!C:C,CatPEP!D:D,"")</f>
        <v/>
      </c>
      <c r="O680" s="53">
        <f>SUMIF('Registro Refacciones'!B:B, I680, 'Registro Refacciones'!I:I)</f>
        <v>0</v>
      </c>
      <c r="P680" s="26">
        <f>Table1[[#This Row],[Costo Servicio]]+Table1[[#This Row],[Refacciones]]</f>
        <v>0</v>
      </c>
      <c r="Q680" s="26"/>
    </row>
    <row r="681" spans="1:17">
      <c r="A681" s="37" t="str">
        <f>IF(Table1[[#This Row],[Tipo de Servicio]]="","",Caratula!$D$15)</f>
        <v/>
      </c>
      <c r="B681" s="37" t="str">
        <f>IF(Table1[[#This Row],[Tipo de Servicio]]="","",Caratula!$D$16)</f>
        <v/>
      </c>
      <c r="C681" s="24" t="str">
        <f>IF(Table1[[#This Row],[Tipo de Servicio]]="","",Caratula!$D$17)</f>
        <v/>
      </c>
      <c r="D681" s="38" t="str">
        <f>IF(ISBLANK(Table1[[#This Row],[Tipo de Servicio]]),"",Caratula!$D$16)</f>
        <v/>
      </c>
      <c r="F681" t="str">
        <f>_xlfn.XLOOKUP(Table1[[#This Row],[SelGZ]]&amp;Table1[[#This Row],[Tipo de Servicio]],CatPEP!A:A,CatPEP!C:C,"")</f>
        <v/>
      </c>
      <c r="G681" t="str">
        <f>_xlfn.XLOOKUP(Table1[[#This Row],[PEP]],CatPEP!C:C,CatPEP!D:D,"")</f>
        <v/>
      </c>
      <c r="O681" s="53">
        <f>SUMIF('Registro Refacciones'!B:B, I681, 'Registro Refacciones'!I:I)</f>
        <v>0</v>
      </c>
      <c r="P681" s="26">
        <f>Table1[[#This Row],[Costo Servicio]]+Table1[[#This Row],[Refacciones]]</f>
        <v>0</v>
      </c>
      <c r="Q681" s="26"/>
    </row>
    <row r="682" spans="1:17">
      <c r="A682" s="37" t="str">
        <f>IF(Table1[[#This Row],[Tipo de Servicio]]="","",Caratula!$D$15)</f>
        <v/>
      </c>
      <c r="B682" s="37" t="str">
        <f>IF(Table1[[#This Row],[Tipo de Servicio]]="","",Caratula!$D$16)</f>
        <v/>
      </c>
      <c r="C682" s="24" t="str">
        <f>IF(Table1[[#This Row],[Tipo de Servicio]]="","",Caratula!$D$17)</f>
        <v/>
      </c>
      <c r="D682" s="38" t="str">
        <f>IF(ISBLANK(Table1[[#This Row],[Tipo de Servicio]]),"",Caratula!$D$16)</f>
        <v/>
      </c>
      <c r="F682" t="str">
        <f>_xlfn.XLOOKUP(Table1[[#This Row],[SelGZ]]&amp;Table1[[#This Row],[Tipo de Servicio]],CatPEP!A:A,CatPEP!C:C,"")</f>
        <v/>
      </c>
      <c r="G682" t="str">
        <f>_xlfn.XLOOKUP(Table1[[#This Row],[PEP]],CatPEP!C:C,CatPEP!D:D,"")</f>
        <v/>
      </c>
      <c r="O682" s="53">
        <f>SUMIF('Registro Refacciones'!B:B, I682, 'Registro Refacciones'!I:I)</f>
        <v>0</v>
      </c>
      <c r="P682" s="26">
        <f>Table1[[#This Row],[Costo Servicio]]+Table1[[#This Row],[Refacciones]]</f>
        <v>0</v>
      </c>
      <c r="Q682" s="26"/>
    </row>
    <row r="683" spans="1:17">
      <c r="A683" s="37" t="str">
        <f>IF(Table1[[#This Row],[Tipo de Servicio]]="","",Caratula!$D$15)</f>
        <v/>
      </c>
      <c r="B683" s="37" t="str">
        <f>IF(Table1[[#This Row],[Tipo de Servicio]]="","",Caratula!$D$16)</f>
        <v/>
      </c>
      <c r="C683" s="24" t="str">
        <f>IF(Table1[[#This Row],[Tipo de Servicio]]="","",Caratula!$D$17)</f>
        <v/>
      </c>
      <c r="D683" s="38" t="str">
        <f>IF(ISBLANK(Table1[[#This Row],[Tipo de Servicio]]),"",Caratula!$D$16)</f>
        <v/>
      </c>
      <c r="F683" t="str">
        <f>_xlfn.XLOOKUP(Table1[[#This Row],[SelGZ]]&amp;Table1[[#This Row],[Tipo de Servicio]],CatPEP!A:A,CatPEP!C:C,"")</f>
        <v/>
      </c>
      <c r="G683" t="str">
        <f>_xlfn.XLOOKUP(Table1[[#This Row],[PEP]],CatPEP!C:C,CatPEP!D:D,"")</f>
        <v/>
      </c>
      <c r="O683" s="53">
        <f>SUMIF('Registro Refacciones'!B:B, I683, 'Registro Refacciones'!I:I)</f>
        <v>0</v>
      </c>
      <c r="P683" s="26">
        <f>Table1[[#This Row],[Costo Servicio]]+Table1[[#This Row],[Refacciones]]</f>
        <v>0</v>
      </c>
      <c r="Q683" s="26"/>
    </row>
    <row r="684" spans="1:17">
      <c r="A684" s="37" t="str">
        <f>IF(Table1[[#This Row],[Tipo de Servicio]]="","",Caratula!$D$15)</f>
        <v/>
      </c>
      <c r="B684" s="37" t="str">
        <f>IF(Table1[[#This Row],[Tipo de Servicio]]="","",Caratula!$D$16)</f>
        <v/>
      </c>
      <c r="C684" s="24" t="str">
        <f>IF(Table1[[#This Row],[Tipo de Servicio]]="","",Caratula!$D$17)</f>
        <v/>
      </c>
      <c r="D684" s="38" t="str">
        <f>IF(ISBLANK(Table1[[#This Row],[Tipo de Servicio]]),"",Caratula!$D$16)</f>
        <v/>
      </c>
      <c r="F684" t="str">
        <f>_xlfn.XLOOKUP(Table1[[#This Row],[SelGZ]]&amp;Table1[[#This Row],[Tipo de Servicio]],CatPEP!A:A,CatPEP!C:C,"")</f>
        <v/>
      </c>
      <c r="G684" t="str">
        <f>_xlfn.XLOOKUP(Table1[[#This Row],[PEP]],CatPEP!C:C,CatPEP!D:D,"")</f>
        <v/>
      </c>
      <c r="O684" s="53">
        <f>SUMIF('Registro Refacciones'!B:B, I684, 'Registro Refacciones'!I:I)</f>
        <v>0</v>
      </c>
      <c r="P684" s="26">
        <f>Table1[[#This Row],[Costo Servicio]]+Table1[[#This Row],[Refacciones]]</f>
        <v>0</v>
      </c>
      <c r="Q684" s="26"/>
    </row>
    <row r="685" spans="1:17">
      <c r="A685" s="37" t="str">
        <f>IF(Table1[[#This Row],[Tipo de Servicio]]="","",Caratula!$D$15)</f>
        <v/>
      </c>
      <c r="B685" s="37" t="str">
        <f>IF(Table1[[#This Row],[Tipo de Servicio]]="","",Caratula!$D$16)</f>
        <v/>
      </c>
      <c r="C685" s="24" t="str">
        <f>IF(Table1[[#This Row],[Tipo de Servicio]]="","",Caratula!$D$17)</f>
        <v/>
      </c>
      <c r="D685" s="38" t="str">
        <f>IF(ISBLANK(Table1[[#This Row],[Tipo de Servicio]]),"",Caratula!$D$16)</f>
        <v/>
      </c>
      <c r="F685" t="str">
        <f>_xlfn.XLOOKUP(Table1[[#This Row],[SelGZ]]&amp;Table1[[#This Row],[Tipo de Servicio]],CatPEP!A:A,CatPEP!C:C,"")</f>
        <v/>
      </c>
      <c r="G685" t="str">
        <f>_xlfn.XLOOKUP(Table1[[#This Row],[PEP]],CatPEP!C:C,CatPEP!D:D,"")</f>
        <v/>
      </c>
      <c r="O685" s="53">
        <f>SUMIF('Registro Refacciones'!B:B, I685, 'Registro Refacciones'!I:I)</f>
        <v>0</v>
      </c>
      <c r="P685" s="26">
        <f>Table1[[#This Row],[Costo Servicio]]+Table1[[#This Row],[Refacciones]]</f>
        <v>0</v>
      </c>
      <c r="Q685" s="26"/>
    </row>
    <row r="686" spans="1:17">
      <c r="A686" s="37" t="str">
        <f>IF(Table1[[#This Row],[Tipo de Servicio]]="","",Caratula!$D$15)</f>
        <v/>
      </c>
      <c r="B686" s="37" t="str">
        <f>IF(Table1[[#This Row],[Tipo de Servicio]]="","",Caratula!$D$16)</f>
        <v/>
      </c>
      <c r="C686" s="24" t="str">
        <f>IF(Table1[[#This Row],[Tipo de Servicio]]="","",Caratula!$D$17)</f>
        <v/>
      </c>
      <c r="D686" s="38" t="str">
        <f>IF(ISBLANK(Table1[[#This Row],[Tipo de Servicio]]),"",Caratula!$D$16)</f>
        <v/>
      </c>
      <c r="F686" t="str">
        <f>_xlfn.XLOOKUP(Table1[[#This Row],[SelGZ]]&amp;Table1[[#This Row],[Tipo de Servicio]],CatPEP!A:A,CatPEP!C:C,"")</f>
        <v/>
      </c>
      <c r="G686" t="str">
        <f>_xlfn.XLOOKUP(Table1[[#This Row],[PEP]],CatPEP!C:C,CatPEP!D:D,"")</f>
        <v/>
      </c>
      <c r="O686" s="53">
        <f>SUMIF('Registro Refacciones'!B:B, I686, 'Registro Refacciones'!I:I)</f>
        <v>0</v>
      </c>
      <c r="P686" s="26">
        <f>Table1[[#This Row],[Costo Servicio]]+Table1[[#This Row],[Refacciones]]</f>
        <v>0</v>
      </c>
      <c r="Q686" s="26"/>
    </row>
    <row r="687" spans="1:17">
      <c r="A687" s="37" t="str">
        <f>IF(Table1[[#This Row],[Tipo de Servicio]]="","",Caratula!$D$15)</f>
        <v/>
      </c>
      <c r="B687" s="37" t="str">
        <f>IF(Table1[[#This Row],[Tipo de Servicio]]="","",Caratula!$D$16)</f>
        <v/>
      </c>
      <c r="C687" s="24" t="str">
        <f>IF(Table1[[#This Row],[Tipo de Servicio]]="","",Caratula!$D$17)</f>
        <v/>
      </c>
      <c r="D687" s="38" t="str">
        <f>IF(ISBLANK(Table1[[#This Row],[Tipo de Servicio]]),"",Caratula!$D$16)</f>
        <v/>
      </c>
      <c r="F687" t="str">
        <f>_xlfn.XLOOKUP(Table1[[#This Row],[SelGZ]]&amp;Table1[[#This Row],[Tipo de Servicio]],CatPEP!A:A,CatPEP!C:C,"")</f>
        <v/>
      </c>
      <c r="G687" t="str">
        <f>_xlfn.XLOOKUP(Table1[[#This Row],[PEP]],CatPEP!C:C,CatPEP!D:D,"")</f>
        <v/>
      </c>
      <c r="O687" s="53">
        <f>SUMIF('Registro Refacciones'!B:B, I687, 'Registro Refacciones'!I:I)</f>
        <v>0</v>
      </c>
      <c r="P687" s="26">
        <f>Table1[[#This Row],[Costo Servicio]]+Table1[[#This Row],[Refacciones]]</f>
        <v>0</v>
      </c>
      <c r="Q687" s="26"/>
    </row>
    <row r="688" spans="1:17">
      <c r="A688" s="37" t="str">
        <f>IF(Table1[[#This Row],[Tipo de Servicio]]="","",Caratula!$D$15)</f>
        <v/>
      </c>
      <c r="B688" s="37" t="str">
        <f>IF(Table1[[#This Row],[Tipo de Servicio]]="","",Caratula!$D$16)</f>
        <v/>
      </c>
      <c r="C688" s="24" t="str">
        <f>IF(Table1[[#This Row],[Tipo de Servicio]]="","",Caratula!$D$17)</f>
        <v/>
      </c>
      <c r="D688" s="38" t="str">
        <f>IF(ISBLANK(Table1[[#This Row],[Tipo de Servicio]]),"",Caratula!$D$16)</f>
        <v/>
      </c>
      <c r="F688" t="str">
        <f>_xlfn.XLOOKUP(Table1[[#This Row],[SelGZ]]&amp;Table1[[#This Row],[Tipo de Servicio]],CatPEP!A:A,CatPEP!C:C,"")</f>
        <v/>
      </c>
      <c r="G688" t="str">
        <f>_xlfn.XLOOKUP(Table1[[#This Row],[PEP]],CatPEP!C:C,CatPEP!D:D,"")</f>
        <v/>
      </c>
      <c r="O688" s="53">
        <f>SUMIF('Registro Refacciones'!B:B, I688, 'Registro Refacciones'!I:I)</f>
        <v>0</v>
      </c>
      <c r="P688" s="26">
        <f>Table1[[#This Row],[Costo Servicio]]+Table1[[#This Row],[Refacciones]]</f>
        <v>0</v>
      </c>
      <c r="Q688" s="26"/>
    </row>
    <row r="689" spans="1:17">
      <c r="A689" s="37" t="str">
        <f>IF(Table1[[#This Row],[Tipo de Servicio]]="","",Caratula!$D$15)</f>
        <v/>
      </c>
      <c r="B689" s="37" t="str">
        <f>IF(Table1[[#This Row],[Tipo de Servicio]]="","",Caratula!$D$16)</f>
        <v/>
      </c>
      <c r="C689" s="24" t="str">
        <f>IF(Table1[[#This Row],[Tipo de Servicio]]="","",Caratula!$D$17)</f>
        <v/>
      </c>
      <c r="D689" s="38" t="str">
        <f>IF(ISBLANK(Table1[[#This Row],[Tipo de Servicio]]),"",Caratula!$D$16)</f>
        <v/>
      </c>
      <c r="F689" t="str">
        <f>_xlfn.XLOOKUP(Table1[[#This Row],[SelGZ]]&amp;Table1[[#This Row],[Tipo de Servicio]],CatPEP!A:A,CatPEP!C:C,"")</f>
        <v/>
      </c>
      <c r="G689" t="str">
        <f>_xlfn.XLOOKUP(Table1[[#This Row],[PEP]],CatPEP!C:C,CatPEP!D:D,"")</f>
        <v/>
      </c>
      <c r="O689" s="53">
        <f>SUMIF('Registro Refacciones'!B:B, I689, 'Registro Refacciones'!I:I)</f>
        <v>0</v>
      </c>
      <c r="P689" s="26">
        <f>Table1[[#This Row],[Costo Servicio]]+Table1[[#This Row],[Refacciones]]</f>
        <v>0</v>
      </c>
      <c r="Q689" s="26"/>
    </row>
    <row r="690" spans="1:17">
      <c r="A690" s="37" t="str">
        <f>IF(Table1[[#This Row],[Tipo de Servicio]]="","",Caratula!$D$15)</f>
        <v/>
      </c>
      <c r="B690" s="37" t="str">
        <f>IF(Table1[[#This Row],[Tipo de Servicio]]="","",Caratula!$D$16)</f>
        <v/>
      </c>
      <c r="C690" s="24" t="str">
        <f>IF(Table1[[#This Row],[Tipo de Servicio]]="","",Caratula!$D$17)</f>
        <v/>
      </c>
      <c r="D690" s="38" t="str">
        <f>IF(ISBLANK(Table1[[#This Row],[Tipo de Servicio]]),"",Caratula!$D$16)</f>
        <v/>
      </c>
      <c r="F690" t="str">
        <f>_xlfn.XLOOKUP(Table1[[#This Row],[SelGZ]]&amp;Table1[[#This Row],[Tipo de Servicio]],CatPEP!A:A,CatPEP!C:C,"")</f>
        <v/>
      </c>
      <c r="G690" t="str">
        <f>_xlfn.XLOOKUP(Table1[[#This Row],[PEP]],CatPEP!C:C,CatPEP!D:D,"")</f>
        <v/>
      </c>
      <c r="O690" s="53">
        <f>SUMIF('Registro Refacciones'!B:B, I690, 'Registro Refacciones'!I:I)</f>
        <v>0</v>
      </c>
      <c r="P690" s="26">
        <f>Table1[[#This Row],[Costo Servicio]]+Table1[[#This Row],[Refacciones]]</f>
        <v>0</v>
      </c>
      <c r="Q690" s="26"/>
    </row>
    <row r="691" spans="1:17">
      <c r="A691" s="37" t="str">
        <f>IF(Table1[[#This Row],[Tipo de Servicio]]="","",Caratula!$D$15)</f>
        <v/>
      </c>
      <c r="B691" s="37" t="str">
        <f>IF(Table1[[#This Row],[Tipo de Servicio]]="","",Caratula!$D$16)</f>
        <v/>
      </c>
      <c r="C691" s="24" t="str">
        <f>IF(Table1[[#This Row],[Tipo de Servicio]]="","",Caratula!$D$17)</f>
        <v/>
      </c>
      <c r="D691" s="38" t="str">
        <f>IF(ISBLANK(Table1[[#This Row],[Tipo de Servicio]]),"",Caratula!$D$16)</f>
        <v/>
      </c>
      <c r="F691" t="str">
        <f>_xlfn.XLOOKUP(Table1[[#This Row],[SelGZ]]&amp;Table1[[#This Row],[Tipo de Servicio]],CatPEP!A:A,CatPEP!C:C,"")</f>
        <v/>
      </c>
      <c r="G691" t="str">
        <f>_xlfn.XLOOKUP(Table1[[#This Row],[PEP]],CatPEP!C:C,CatPEP!D:D,"")</f>
        <v/>
      </c>
      <c r="O691" s="53">
        <f>SUMIF('Registro Refacciones'!B:B, I691, 'Registro Refacciones'!I:I)</f>
        <v>0</v>
      </c>
      <c r="P691" s="26">
        <f>Table1[[#This Row],[Costo Servicio]]+Table1[[#This Row],[Refacciones]]</f>
        <v>0</v>
      </c>
      <c r="Q691" s="26"/>
    </row>
    <row r="692" spans="1:17">
      <c r="A692" s="37" t="str">
        <f>IF(Table1[[#This Row],[Tipo de Servicio]]="","",Caratula!$D$15)</f>
        <v/>
      </c>
      <c r="B692" s="37" t="str">
        <f>IF(Table1[[#This Row],[Tipo de Servicio]]="","",Caratula!$D$16)</f>
        <v/>
      </c>
      <c r="C692" s="24" t="str">
        <f>IF(Table1[[#This Row],[Tipo de Servicio]]="","",Caratula!$D$17)</f>
        <v/>
      </c>
      <c r="D692" s="38" t="str">
        <f>IF(ISBLANK(Table1[[#This Row],[Tipo de Servicio]]),"",Caratula!$D$16)</f>
        <v/>
      </c>
      <c r="F692" t="str">
        <f>_xlfn.XLOOKUP(Table1[[#This Row],[SelGZ]]&amp;Table1[[#This Row],[Tipo de Servicio]],CatPEP!A:A,CatPEP!C:C,"")</f>
        <v/>
      </c>
      <c r="G692" t="str">
        <f>_xlfn.XLOOKUP(Table1[[#This Row],[PEP]],CatPEP!C:C,CatPEP!D:D,"")</f>
        <v/>
      </c>
      <c r="O692" s="53">
        <f>SUMIF('Registro Refacciones'!B:B, I692, 'Registro Refacciones'!I:I)</f>
        <v>0</v>
      </c>
      <c r="P692" s="26">
        <f>Table1[[#This Row],[Costo Servicio]]+Table1[[#This Row],[Refacciones]]</f>
        <v>0</v>
      </c>
      <c r="Q692" s="26"/>
    </row>
    <row r="693" spans="1:17">
      <c r="A693" s="37" t="str">
        <f>IF(Table1[[#This Row],[Tipo de Servicio]]="","",Caratula!$D$15)</f>
        <v/>
      </c>
      <c r="B693" s="37" t="str">
        <f>IF(Table1[[#This Row],[Tipo de Servicio]]="","",Caratula!$D$16)</f>
        <v/>
      </c>
      <c r="C693" s="24" t="str">
        <f>IF(Table1[[#This Row],[Tipo de Servicio]]="","",Caratula!$D$17)</f>
        <v/>
      </c>
      <c r="D693" s="38" t="str">
        <f>IF(ISBLANK(Table1[[#This Row],[Tipo de Servicio]]),"",Caratula!$D$16)</f>
        <v/>
      </c>
      <c r="F693" t="str">
        <f>_xlfn.XLOOKUP(Table1[[#This Row],[SelGZ]]&amp;Table1[[#This Row],[Tipo de Servicio]],CatPEP!A:A,CatPEP!C:C,"")</f>
        <v/>
      </c>
      <c r="G693" t="str">
        <f>_xlfn.XLOOKUP(Table1[[#This Row],[PEP]],CatPEP!C:C,CatPEP!D:D,"")</f>
        <v/>
      </c>
      <c r="O693" s="53">
        <f>SUMIF('Registro Refacciones'!B:B, I693, 'Registro Refacciones'!I:I)</f>
        <v>0</v>
      </c>
      <c r="P693" s="26">
        <f>Table1[[#This Row],[Costo Servicio]]+Table1[[#This Row],[Refacciones]]</f>
        <v>0</v>
      </c>
      <c r="Q693" s="26"/>
    </row>
    <row r="694" spans="1:17">
      <c r="A694" s="37" t="str">
        <f>IF(Table1[[#This Row],[Tipo de Servicio]]="","",Caratula!$D$15)</f>
        <v/>
      </c>
      <c r="B694" s="37" t="str">
        <f>IF(Table1[[#This Row],[Tipo de Servicio]]="","",Caratula!$D$16)</f>
        <v/>
      </c>
      <c r="C694" s="24" t="str">
        <f>IF(Table1[[#This Row],[Tipo de Servicio]]="","",Caratula!$D$17)</f>
        <v/>
      </c>
      <c r="D694" s="38" t="str">
        <f>IF(ISBLANK(Table1[[#This Row],[Tipo de Servicio]]),"",Caratula!$D$16)</f>
        <v/>
      </c>
      <c r="F694" t="str">
        <f>_xlfn.XLOOKUP(Table1[[#This Row],[SelGZ]]&amp;Table1[[#This Row],[Tipo de Servicio]],CatPEP!A:A,CatPEP!C:C,"")</f>
        <v/>
      </c>
      <c r="G694" t="str">
        <f>_xlfn.XLOOKUP(Table1[[#This Row],[PEP]],CatPEP!C:C,CatPEP!D:D,"")</f>
        <v/>
      </c>
      <c r="O694" s="53">
        <f>SUMIF('Registro Refacciones'!B:B, I694, 'Registro Refacciones'!I:I)</f>
        <v>0</v>
      </c>
      <c r="P694" s="26">
        <f>Table1[[#This Row],[Costo Servicio]]+Table1[[#This Row],[Refacciones]]</f>
        <v>0</v>
      </c>
      <c r="Q694" s="26"/>
    </row>
    <row r="695" spans="1:17">
      <c r="A695" s="37" t="str">
        <f>IF(Table1[[#This Row],[Tipo de Servicio]]="","",Caratula!$D$15)</f>
        <v/>
      </c>
      <c r="B695" s="37" t="str">
        <f>IF(Table1[[#This Row],[Tipo de Servicio]]="","",Caratula!$D$16)</f>
        <v/>
      </c>
      <c r="C695" s="24" t="str">
        <f>IF(Table1[[#This Row],[Tipo de Servicio]]="","",Caratula!$D$17)</f>
        <v/>
      </c>
      <c r="D695" s="38" t="str">
        <f>IF(ISBLANK(Table1[[#This Row],[Tipo de Servicio]]),"",Caratula!$D$16)</f>
        <v/>
      </c>
      <c r="F695" t="str">
        <f>_xlfn.XLOOKUP(Table1[[#This Row],[SelGZ]]&amp;Table1[[#This Row],[Tipo de Servicio]],CatPEP!A:A,CatPEP!C:C,"")</f>
        <v/>
      </c>
      <c r="G695" t="str">
        <f>_xlfn.XLOOKUP(Table1[[#This Row],[PEP]],CatPEP!C:C,CatPEP!D:D,"")</f>
        <v/>
      </c>
      <c r="O695" s="53">
        <f>SUMIF('Registro Refacciones'!B:B, I695, 'Registro Refacciones'!I:I)</f>
        <v>0</v>
      </c>
      <c r="P695" s="26">
        <f>Table1[[#This Row],[Costo Servicio]]+Table1[[#This Row],[Refacciones]]</f>
        <v>0</v>
      </c>
      <c r="Q695" s="26"/>
    </row>
    <row r="696" spans="1:17">
      <c r="A696" s="37" t="str">
        <f>IF(Table1[[#This Row],[Tipo de Servicio]]="","",Caratula!$D$15)</f>
        <v/>
      </c>
      <c r="B696" s="37" t="str">
        <f>IF(Table1[[#This Row],[Tipo de Servicio]]="","",Caratula!$D$16)</f>
        <v/>
      </c>
      <c r="C696" s="24" t="str">
        <f>IF(Table1[[#This Row],[Tipo de Servicio]]="","",Caratula!$D$17)</f>
        <v/>
      </c>
      <c r="D696" s="38" t="str">
        <f>IF(ISBLANK(Table1[[#This Row],[Tipo de Servicio]]),"",Caratula!$D$16)</f>
        <v/>
      </c>
      <c r="F696" t="str">
        <f>_xlfn.XLOOKUP(Table1[[#This Row],[SelGZ]]&amp;Table1[[#This Row],[Tipo de Servicio]],CatPEP!A:A,CatPEP!C:C,"")</f>
        <v/>
      </c>
      <c r="G696" t="str">
        <f>_xlfn.XLOOKUP(Table1[[#This Row],[PEP]],CatPEP!C:C,CatPEP!D:D,"")</f>
        <v/>
      </c>
      <c r="O696" s="53">
        <f>SUMIF('Registro Refacciones'!B:B, I696, 'Registro Refacciones'!I:I)</f>
        <v>0</v>
      </c>
      <c r="P696" s="26">
        <f>Table1[[#This Row],[Costo Servicio]]+Table1[[#This Row],[Refacciones]]</f>
        <v>0</v>
      </c>
      <c r="Q696" s="26"/>
    </row>
    <row r="697" spans="1:17">
      <c r="A697" s="37" t="str">
        <f>IF(Table1[[#This Row],[Tipo de Servicio]]="","",Caratula!$D$15)</f>
        <v/>
      </c>
      <c r="B697" s="37" t="str">
        <f>IF(Table1[[#This Row],[Tipo de Servicio]]="","",Caratula!$D$16)</f>
        <v/>
      </c>
      <c r="C697" s="24" t="str">
        <f>IF(Table1[[#This Row],[Tipo de Servicio]]="","",Caratula!$D$17)</f>
        <v/>
      </c>
      <c r="D697" s="38" t="str">
        <f>IF(ISBLANK(Table1[[#This Row],[Tipo de Servicio]]),"",Caratula!$D$16)</f>
        <v/>
      </c>
      <c r="F697" t="str">
        <f>_xlfn.XLOOKUP(Table1[[#This Row],[SelGZ]]&amp;Table1[[#This Row],[Tipo de Servicio]],CatPEP!A:A,CatPEP!C:C,"")</f>
        <v/>
      </c>
      <c r="G697" t="str">
        <f>_xlfn.XLOOKUP(Table1[[#This Row],[PEP]],CatPEP!C:C,CatPEP!D:D,"")</f>
        <v/>
      </c>
      <c r="O697" s="53">
        <f>SUMIF('Registro Refacciones'!B:B, I697, 'Registro Refacciones'!I:I)</f>
        <v>0</v>
      </c>
      <c r="P697" s="26">
        <f>Table1[[#This Row],[Costo Servicio]]+Table1[[#This Row],[Refacciones]]</f>
        <v>0</v>
      </c>
      <c r="Q697" s="26"/>
    </row>
    <row r="698" spans="1:17">
      <c r="A698" s="37" t="str">
        <f>IF(Table1[[#This Row],[Tipo de Servicio]]="","",Caratula!$D$15)</f>
        <v/>
      </c>
      <c r="B698" s="37" t="str">
        <f>IF(Table1[[#This Row],[Tipo de Servicio]]="","",Caratula!$D$16)</f>
        <v/>
      </c>
      <c r="C698" s="24" t="str">
        <f>IF(Table1[[#This Row],[Tipo de Servicio]]="","",Caratula!$D$17)</f>
        <v/>
      </c>
      <c r="D698" s="38" t="str">
        <f>IF(ISBLANK(Table1[[#This Row],[Tipo de Servicio]]),"",Caratula!$D$16)</f>
        <v/>
      </c>
      <c r="F698" t="str">
        <f>_xlfn.XLOOKUP(Table1[[#This Row],[SelGZ]]&amp;Table1[[#This Row],[Tipo de Servicio]],CatPEP!A:A,CatPEP!C:C,"")</f>
        <v/>
      </c>
      <c r="G698" t="str">
        <f>_xlfn.XLOOKUP(Table1[[#This Row],[PEP]],CatPEP!C:C,CatPEP!D:D,"")</f>
        <v/>
      </c>
      <c r="O698" s="53">
        <f>SUMIF('Registro Refacciones'!B:B, I698, 'Registro Refacciones'!I:I)</f>
        <v>0</v>
      </c>
      <c r="P698" s="26">
        <f>Table1[[#This Row],[Costo Servicio]]+Table1[[#This Row],[Refacciones]]</f>
        <v>0</v>
      </c>
      <c r="Q698" s="26"/>
    </row>
    <row r="699" spans="1:17">
      <c r="A699" s="37" t="str">
        <f>IF(Table1[[#This Row],[Tipo de Servicio]]="","",Caratula!$D$15)</f>
        <v/>
      </c>
      <c r="B699" s="37" t="str">
        <f>IF(Table1[[#This Row],[Tipo de Servicio]]="","",Caratula!$D$16)</f>
        <v/>
      </c>
      <c r="C699" s="24" t="str">
        <f>IF(Table1[[#This Row],[Tipo de Servicio]]="","",Caratula!$D$17)</f>
        <v/>
      </c>
      <c r="D699" s="38" t="str">
        <f>IF(ISBLANK(Table1[[#This Row],[Tipo de Servicio]]),"",Caratula!$D$16)</f>
        <v/>
      </c>
      <c r="F699" t="str">
        <f>_xlfn.XLOOKUP(Table1[[#This Row],[SelGZ]]&amp;Table1[[#This Row],[Tipo de Servicio]],CatPEP!A:A,CatPEP!C:C,"")</f>
        <v/>
      </c>
      <c r="G699" t="str">
        <f>_xlfn.XLOOKUP(Table1[[#This Row],[PEP]],CatPEP!C:C,CatPEP!D:D,"")</f>
        <v/>
      </c>
      <c r="O699" s="53">
        <f>SUMIF('Registro Refacciones'!B:B, I699, 'Registro Refacciones'!I:I)</f>
        <v>0</v>
      </c>
      <c r="P699" s="26">
        <f>Table1[[#This Row],[Costo Servicio]]+Table1[[#This Row],[Refacciones]]</f>
        <v>0</v>
      </c>
      <c r="Q699" s="26"/>
    </row>
    <row r="700" spans="1:17">
      <c r="A700" s="37" t="str">
        <f>IF(Table1[[#This Row],[Tipo de Servicio]]="","",Caratula!$D$15)</f>
        <v/>
      </c>
      <c r="B700" s="37" t="str">
        <f>IF(Table1[[#This Row],[Tipo de Servicio]]="","",Caratula!$D$16)</f>
        <v/>
      </c>
      <c r="C700" s="24" t="str">
        <f>IF(Table1[[#This Row],[Tipo de Servicio]]="","",Caratula!$D$17)</f>
        <v/>
      </c>
      <c r="D700" s="38" t="str">
        <f>IF(ISBLANK(Table1[[#This Row],[Tipo de Servicio]]),"",Caratula!$D$16)</f>
        <v/>
      </c>
      <c r="F700" t="str">
        <f>_xlfn.XLOOKUP(Table1[[#This Row],[SelGZ]]&amp;Table1[[#This Row],[Tipo de Servicio]],CatPEP!A:A,CatPEP!C:C,"")</f>
        <v/>
      </c>
      <c r="G700" t="str">
        <f>_xlfn.XLOOKUP(Table1[[#This Row],[PEP]],CatPEP!C:C,CatPEP!D:D,"")</f>
        <v/>
      </c>
      <c r="O700" s="53">
        <f>SUMIF('Registro Refacciones'!B:B, I700, 'Registro Refacciones'!I:I)</f>
        <v>0</v>
      </c>
      <c r="P700" s="26">
        <f>Table1[[#This Row],[Costo Servicio]]+Table1[[#This Row],[Refacciones]]</f>
        <v>0</v>
      </c>
      <c r="Q700" s="26"/>
    </row>
    <row r="701" spans="1:17">
      <c r="A701" s="37" t="str">
        <f>IF(Table1[[#This Row],[Tipo de Servicio]]="","",Caratula!$D$15)</f>
        <v/>
      </c>
      <c r="B701" s="37" t="str">
        <f>IF(Table1[[#This Row],[Tipo de Servicio]]="","",Caratula!$D$16)</f>
        <v/>
      </c>
      <c r="C701" s="24" t="str">
        <f>IF(Table1[[#This Row],[Tipo de Servicio]]="","",Caratula!$D$17)</f>
        <v/>
      </c>
      <c r="D701" s="38" t="str">
        <f>IF(ISBLANK(Table1[[#This Row],[Tipo de Servicio]]),"",Caratula!$D$16)</f>
        <v/>
      </c>
      <c r="F701" t="str">
        <f>_xlfn.XLOOKUP(Table1[[#This Row],[SelGZ]]&amp;Table1[[#This Row],[Tipo de Servicio]],CatPEP!A:A,CatPEP!C:C,"")</f>
        <v/>
      </c>
      <c r="G701" t="str">
        <f>_xlfn.XLOOKUP(Table1[[#This Row],[PEP]],CatPEP!C:C,CatPEP!D:D,"")</f>
        <v/>
      </c>
      <c r="O701" s="53">
        <f>SUMIF('Registro Refacciones'!B:B, I701, 'Registro Refacciones'!I:I)</f>
        <v>0</v>
      </c>
      <c r="P701" s="26">
        <f>Table1[[#This Row],[Costo Servicio]]+Table1[[#This Row],[Refacciones]]</f>
        <v>0</v>
      </c>
      <c r="Q701" s="26"/>
    </row>
    <row r="702" spans="1:17">
      <c r="A702" s="37" t="str">
        <f>IF(Table1[[#This Row],[Tipo de Servicio]]="","",Caratula!$D$15)</f>
        <v/>
      </c>
      <c r="B702" s="37" t="str">
        <f>IF(Table1[[#This Row],[Tipo de Servicio]]="","",Caratula!$D$16)</f>
        <v/>
      </c>
      <c r="C702" s="24" t="str">
        <f>IF(Table1[[#This Row],[Tipo de Servicio]]="","",Caratula!$D$17)</f>
        <v/>
      </c>
      <c r="D702" s="38" t="str">
        <f>IF(ISBLANK(Table1[[#This Row],[Tipo de Servicio]]),"",Caratula!$D$16)</f>
        <v/>
      </c>
      <c r="F702" t="str">
        <f>_xlfn.XLOOKUP(Table1[[#This Row],[SelGZ]]&amp;Table1[[#This Row],[Tipo de Servicio]],CatPEP!A:A,CatPEP!C:C,"")</f>
        <v/>
      </c>
      <c r="G702" t="str">
        <f>_xlfn.XLOOKUP(Table1[[#This Row],[PEP]],CatPEP!C:C,CatPEP!D:D,"")</f>
        <v/>
      </c>
      <c r="O702" s="53">
        <f>SUMIF('Registro Refacciones'!B:B, I702, 'Registro Refacciones'!I:I)</f>
        <v>0</v>
      </c>
      <c r="P702" s="26">
        <f>Table1[[#This Row],[Costo Servicio]]+Table1[[#This Row],[Refacciones]]</f>
        <v>0</v>
      </c>
      <c r="Q702" s="26"/>
    </row>
    <row r="703" spans="1:17">
      <c r="A703" s="37" t="str">
        <f>IF(Table1[[#This Row],[Tipo de Servicio]]="","",Caratula!$D$15)</f>
        <v/>
      </c>
      <c r="B703" s="37" t="str">
        <f>IF(Table1[[#This Row],[Tipo de Servicio]]="","",Caratula!$D$16)</f>
        <v/>
      </c>
      <c r="C703" s="24" t="str">
        <f>IF(Table1[[#This Row],[Tipo de Servicio]]="","",Caratula!$D$17)</f>
        <v/>
      </c>
      <c r="D703" s="38" t="str">
        <f>IF(ISBLANK(Table1[[#This Row],[Tipo de Servicio]]),"",Caratula!$D$16)</f>
        <v/>
      </c>
      <c r="F703" t="str">
        <f>_xlfn.XLOOKUP(Table1[[#This Row],[SelGZ]]&amp;Table1[[#This Row],[Tipo de Servicio]],CatPEP!A:A,CatPEP!C:C,"")</f>
        <v/>
      </c>
      <c r="G703" t="str">
        <f>_xlfn.XLOOKUP(Table1[[#This Row],[PEP]],CatPEP!C:C,CatPEP!D:D,"")</f>
        <v/>
      </c>
      <c r="O703" s="53">
        <f>SUMIF('Registro Refacciones'!B:B, I703, 'Registro Refacciones'!I:I)</f>
        <v>0</v>
      </c>
      <c r="P703" s="26">
        <f>Table1[[#This Row],[Costo Servicio]]+Table1[[#This Row],[Refacciones]]</f>
        <v>0</v>
      </c>
      <c r="Q703" s="26"/>
    </row>
    <row r="704" spans="1:17">
      <c r="A704" s="37" t="str">
        <f>IF(Table1[[#This Row],[Tipo de Servicio]]="","",Caratula!$D$15)</f>
        <v/>
      </c>
      <c r="B704" s="37" t="str">
        <f>IF(Table1[[#This Row],[Tipo de Servicio]]="","",Caratula!$D$16)</f>
        <v/>
      </c>
      <c r="C704" s="24" t="str">
        <f>IF(Table1[[#This Row],[Tipo de Servicio]]="","",Caratula!$D$17)</f>
        <v/>
      </c>
      <c r="D704" s="38" t="str">
        <f>IF(ISBLANK(Table1[[#This Row],[Tipo de Servicio]]),"",Caratula!$D$16)</f>
        <v/>
      </c>
      <c r="F704" t="str">
        <f>_xlfn.XLOOKUP(Table1[[#This Row],[SelGZ]]&amp;Table1[[#This Row],[Tipo de Servicio]],CatPEP!A:A,CatPEP!C:C,"")</f>
        <v/>
      </c>
      <c r="G704" t="str">
        <f>_xlfn.XLOOKUP(Table1[[#This Row],[PEP]],CatPEP!C:C,CatPEP!D:D,"")</f>
        <v/>
      </c>
      <c r="O704" s="53">
        <f>SUMIF('Registro Refacciones'!B:B, I704, 'Registro Refacciones'!I:I)</f>
        <v>0</v>
      </c>
      <c r="P704" s="26">
        <f>Table1[[#This Row],[Costo Servicio]]+Table1[[#This Row],[Refacciones]]</f>
        <v>0</v>
      </c>
      <c r="Q704" s="26"/>
    </row>
    <row r="705" spans="1:17">
      <c r="A705" s="37" t="str">
        <f>IF(Table1[[#This Row],[Tipo de Servicio]]="","",Caratula!$D$15)</f>
        <v/>
      </c>
      <c r="B705" s="37" t="str">
        <f>IF(Table1[[#This Row],[Tipo de Servicio]]="","",Caratula!$D$16)</f>
        <v/>
      </c>
      <c r="C705" s="24" t="str">
        <f>IF(Table1[[#This Row],[Tipo de Servicio]]="","",Caratula!$D$17)</f>
        <v/>
      </c>
      <c r="D705" s="38" t="str">
        <f>IF(ISBLANK(Table1[[#This Row],[Tipo de Servicio]]),"",Caratula!$D$16)</f>
        <v/>
      </c>
      <c r="F705" t="str">
        <f>_xlfn.XLOOKUP(Table1[[#This Row],[SelGZ]]&amp;Table1[[#This Row],[Tipo de Servicio]],CatPEP!A:A,CatPEP!C:C,"")</f>
        <v/>
      </c>
      <c r="G705" t="str">
        <f>_xlfn.XLOOKUP(Table1[[#This Row],[PEP]],CatPEP!C:C,CatPEP!D:D,"")</f>
        <v/>
      </c>
      <c r="O705" s="53">
        <f>SUMIF('Registro Refacciones'!B:B, I705, 'Registro Refacciones'!I:I)</f>
        <v>0</v>
      </c>
      <c r="P705" s="26">
        <f>Table1[[#This Row],[Costo Servicio]]+Table1[[#This Row],[Refacciones]]</f>
        <v>0</v>
      </c>
      <c r="Q705" s="26"/>
    </row>
    <row r="706" spans="1:17">
      <c r="A706" s="37" t="str">
        <f>IF(Table1[[#This Row],[Tipo de Servicio]]="","",Caratula!$D$15)</f>
        <v/>
      </c>
      <c r="B706" s="37" t="str">
        <f>IF(Table1[[#This Row],[Tipo de Servicio]]="","",Caratula!$D$16)</f>
        <v/>
      </c>
      <c r="C706" s="24" t="str">
        <f>IF(Table1[[#This Row],[Tipo de Servicio]]="","",Caratula!$D$17)</f>
        <v/>
      </c>
      <c r="D706" s="38" t="str">
        <f>IF(ISBLANK(Table1[[#This Row],[Tipo de Servicio]]),"",Caratula!$D$16)</f>
        <v/>
      </c>
      <c r="F706" t="str">
        <f>_xlfn.XLOOKUP(Table1[[#This Row],[SelGZ]]&amp;Table1[[#This Row],[Tipo de Servicio]],CatPEP!A:A,CatPEP!C:C,"")</f>
        <v/>
      </c>
      <c r="G706" t="str">
        <f>_xlfn.XLOOKUP(Table1[[#This Row],[PEP]],CatPEP!C:C,CatPEP!D:D,"")</f>
        <v/>
      </c>
      <c r="O706" s="53">
        <f>SUMIF('Registro Refacciones'!B:B, I706, 'Registro Refacciones'!I:I)</f>
        <v>0</v>
      </c>
      <c r="P706" s="26">
        <f>Table1[[#This Row],[Costo Servicio]]+Table1[[#This Row],[Refacciones]]</f>
        <v>0</v>
      </c>
      <c r="Q706" s="26"/>
    </row>
    <row r="707" spans="1:17">
      <c r="A707" s="37" t="str">
        <f>IF(Table1[[#This Row],[Tipo de Servicio]]="","",Caratula!$D$15)</f>
        <v/>
      </c>
      <c r="B707" s="37" t="str">
        <f>IF(Table1[[#This Row],[Tipo de Servicio]]="","",Caratula!$D$16)</f>
        <v/>
      </c>
      <c r="C707" s="24" t="str">
        <f>IF(Table1[[#This Row],[Tipo de Servicio]]="","",Caratula!$D$17)</f>
        <v/>
      </c>
      <c r="D707" s="38" t="str">
        <f>IF(ISBLANK(Table1[[#This Row],[Tipo de Servicio]]),"",Caratula!$D$16)</f>
        <v/>
      </c>
      <c r="F707" t="str">
        <f>_xlfn.XLOOKUP(Table1[[#This Row],[SelGZ]]&amp;Table1[[#This Row],[Tipo de Servicio]],CatPEP!A:A,CatPEP!C:C,"")</f>
        <v/>
      </c>
      <c r="G707" t="str">
        <f>_xlfn.XLOOKUP(Table1[[#This Row],[PEP]],CatPEP!C:C,CatPEP!D:D,"")</f>
        <v/>
      </c>
      <c r="O707" s="53">
        <f>SUMIF('Registro Refacciones'!B:B, I707, 'Registro Refacciones'!I:I)</f>
        <v>0</v>
      </c>
      <c r="P707" s="26">
        <f>Table1[[#This Row],[Costo Servicio]]+Table1[[#This Row],[Refacciones]]</f>
        <v>0</v>
      </c>
      <c r="Q707" s="26"/>
    </row>
    <row r="708" spans="1:17">
      <c r="A708" s="37" t="str">
        <f>IF(Table1[[#This Row],[Tipo de Servicio]]="","",Caratula!$D$15)</f>
        <v/>
      </c>
      <c r="B708" s="37" t="str">
        <f>IF(Table1[[#This Row],[Tipo de Servicio]]="","",Caratula!$D$16)</f>
        <v/>
      </c>
      <c r="C708" s="24" t="str">
        <f>IF(Table1[[#This Row],[Tipo de Servicio]]="","",Caratula!$D$17)</f>
        <v/>
      </c>
      <c r="D708" s="38" t="str">
        <f>IF(ISBLANK(Table1[[#This Row],[Tipo de Servicio]]),"",Caratula!$D$16)</f>
        <v/>
      </c>
      <c r="F708" t="str">
        <f>_xlfn.XLOOKUP(Table1[[#This Row],[SelGZ]]&amp;Table1[[#This Row],[Tipo de Servicio]],CatPEP!A:A,CatPEP!C:C,"")</f>
        <v/>
      </c>
      <c r="G708" t="str">
        <f>_xlfn.XLOOKUP(Table1[[#This Row],[PEP]],CatPEP!C:C,CatPEP!D:D,"")</f>
        <v/>
      </c>
      <c r="O708" s="53">
        <f>SUMIF('Registro Refacciones'!B:B, I708, 'Registro Refacciones'!I:I)</f>
        <v>0</v>
      </c>
      <c r="P708" s="26">
        <f>Table1[[#This Row],[Costo Servicio]]+Table1[[#This Row],[Refacciones]]</f>
        <v>0</v>
      </c>
      <c r="Q708" s="26"/>
    </row>
    <row r="709" spans="1:17">
      <c r="A709" s="37" t="str">
        <f>IF(Table1[[#This Row],[Tipo de Servicio]]="","",Caratula!$D$15)</f>
        <v/>
      </c>
      <c r="B709" s="37" t="str">
        <f>IF(Table1[[#This Row],[Tipo de Servicio]]="","",Caratula!$D$16)</f>
        <v/>
      </c>
      <c r="C709" s="24" t="str">
        <f>IF(Table1[[#This Row],[Tipo de Servicio]]="","",Caratula!$D$17)</f>
        <v/>
      </c>
      <c r="D709" s="38" t="str">
        <f>IF(ISBLANK(Table1[[#This Row],[Tipo de Servicio]]),"",Caratula!$D$16)</f>
        <v/>
      </c>
      <c r="F709" t="str">
        <f>_xlfn.XLOOKUP(Table1[[#This Row],[SelGZ]]&amp;Table1[[#This Row],[Tipo de Servicio]],CatPEP!A:A,CatPEP!C:C,"")</f>
        <v/>
      </c>
      <c r="G709" t="str">
        <f>_xlfn.XLOOKUP(Table1[[#This Row],[PEP]],CatPEP!C:C,CatPEP!D:D,"")</f>
        <v/>
      </c>
      <c r="O709" s="53">
        <f>SUMIF('Registro Refacciones'!B:B, I709, 'Registro Refacciones'!I:I)</f>
        <v>0</v>
      </c>
      <c r="P709" s="26">
        <f>Table1[[#This Row],[Costo Servicio]]+Table1[[#This Row],[Refacciones]]</f>
        <v>0</v>
      </c>
      <c r="Q709" s="26"/>
    </row>
    <row r="710" spans="1:17">
      <c r="A710" s="37" t="str">
        <f>IF(Table1[[#This Row],[Tipo de Servicio]]="","",Caratula!$D$15)</f>
        <v/>
      </c>
      <c r="B710" s="37" t="str">
        <f>IF(Table1[[#This Row],[Tipo de Servicio]]="","",Caratula!$D$16)</f>
        <v/>
      </c>
      <c r="C710" s="24" t="str">
        <f>IF(Table1[[#This Row],[Tipo de Servicio]]="","",Caratula!$D$17)</f>
        <v/>
      </c>
      <c r="D710" s="38" t="str">
        <f>IF(ISBLANK(Table1[[#This Row],[Tipo de Servicio]]),"",Caratula!$D$16)</f>
        <v/>
      </c>
      <c r="F710" t="str">
        <f>_xlfn.XLOOKUP(Table1[[#This Row],[SelGZ]]&amp;Table1[[#This Row],[Tipo de Servicio]],CatPEP!A:A,CatPEP!C:C,"")</f>
        <v/>
      </c>
      <c r="G710" t="str">
        <f>_xlfn.XLOOKUP(Table1[[#This Row],[PEP]],CatPEP!C:C,CatPEP!D:D,"")</f>
        <v/>
      </c>
      <c r="O710" s="53">
        <f>SUMIF('Registro Refacciones'!B:B, I710, 'Registro Refacciones'!I:I)</f>
        <v>0</v>
      </c>
      <c r="P710" s="26">
        <f>Table1[[#This Row],[Costo Servicio]]+Table1[[#This Row],[Refacciones]]</f>
        <v>0</v>
      </c>
      <c r="Q710" s="26"/>
    </row>
    <row r="711" spans="1:17">
      <c r="A711" s="37" t="str">
        <f>IF(Table1[[#This Row],[Tipo de Servicio]]="","",Caratula!$D$15)</f>
        <v/>
      </c>
      <c r="B711" s="37" t="str">
        <f>IF(Table1[[#This Row],[Tipo de Servicio]]="","",Caratula!$D$16)</f>
        <v/>
      </c>
      <c r="C711" s="24" t="str">
        <f>IF(Table1[[#This Row],[Tipo de Servicio]]="","",Caratula!$D$17)</f>
        <v/>
      </c>
      <c r="D711" s="38" t="str">
        <f>IF(ISBLANK(Table1[[#This Row],[Tipo de Servicio]]),"",Caratula!$D$16)</f>
        <v/>
      </c>
      <c r="F711" t="str">
        <f>_xlfn.XLOOKUP(Table1[[#This Row],[SelGZ]]&amp;Table1[[#This Row],[Tipo de Servicio]],CatPEP!A:A,CatPEP!C:C,"")</f>
        <v/>
      </c>
      <c r="G711" t="str">
        <f>_xlfn.XLOOKUP(Table1[[#This Row],[PEP]],CatPEP!C:C,CatPEP!D:D,"")</f>
        <v/>
      </c>
      <c r="O711" s="53">
        <f>SUMIF('Registro Refacciones'!B:B, I711, 'Registro Refacciones'!I:I)</f>
        <v>0</v>
      </c>
      <c r="P711" s="26">
        <f>Table1[[#This Row],[Costo Servicio]]+Table1[[#This Row],[Refacciones]]</f>
        <v>0</v>
      </c>
      <c r="Q711" s="26"/>
    </row>
    <row r="712" spans="1:17">
      <c r="A712" s="37" t="str">
        <f>IF(Table1[[#This Row],[Tipo de Servicio]]="","",Caratula!$D$15)</f>
        <v/>
      </c>
      <c r="B712" s="37" t="str">
        <f>IF(Table1[[#This Row],[Tipo de Servicio]]="","",Caratula!$D$16)</f>
        <v/>
      </c>
      <c r="C712" s="24" t="str">
        <f>IF(Table1[[#This Row],[Tipo de Servicio]]="","",Caratula!$D$17)</f>
        <v/>
      </c>
      <c r="D712" s="38" t="str">
        <f>IF(ISBLANK(Table1[[#This Row],[Tipo de Servicio]]),"",Caratula!$D$16)</f>
        <v/>
      </c>
      <c r="F712" t="str">
        <f>_xlfn.XLOOKUP(Table1[[#This Row],[SelGZ]]&amp;Table1[[#This Row],[Tipo de Servicio]],CatPEP!A:A,CatPEP!C:C,"")</f>
        <v/>
      </c>
      <c r="G712" t="str">
        <f>_xlfn.XLOOKUP(Table1[[#This Row],[PEP]],CatPEP!C:C,CatPEP!D:D,"")</f>
        <v/>
      </c>
      <c r="O712" s="53">
        <f>SUMIF('Registro Refacciones'!B:B, I712, 'Registro Refacciones'!I:I)</f>
        <v>0</v>
      </c>
      <c r="P712" s="26">
        <f>Table1[[#This Row],[Costo Servicio]]+Table1[[#This Row],[Refacciones]]</f>
        <v>0</v>
      </c>
      <c r="Q712" s="26"/>
    </row>
    <row r="713" spans="1:17">
      <c r="A713" s="37" t="str">
        <f>IF(Table1[[#This Row],[Tipo de Servicio]]="","",Caratula!$D$15)</f>
        <v/>
      </c>
      <c r="B713" s="37" t="str">
        <f>IF(Table1[[#This Row],[Tipo de Servicio]]="","",Caratula!$D$16)</f>
        <v/>
      </c>
      <c r="C713" s="24" t="str">
        <f>IF(Table1[[#This Row],[Tipo de Servicio]]="","",Caratula!$D$17)</f>
        <v/>
      </c>
      <c r="D713" s="38" t="str">
        <f>IF(ISBLANK(Table1[[#This Row],[Tipo de Servicio]]),"",Caratula!$D$16)</f>
        <v/>
      </c>
      <c r="F713" t="str">
        <f>_xlfn.XLOOKUP(Table1[[#This Row],[SelGZ]]&amp;Table1[[#This Row],[Tipo de Servicio]],CatPEP!A:A,CatPEP!C:C,"")</f>
        <v/>
      </c>
      <c r="G713" t="str">
        <f>_xlfn.XLOOKUP(Table1[[#This Row],[PEP]],CatPEP!C:C,CatPEP!D:D,"")</f>
        <v/>
      </c>
      <c r="O713" s="53">
        <f>SUMIF('Registro Refacciones'!B:B, I713, 'Registro Refacciones'!I:I)</f>
        <v>0</v>
      </c>
      <c r="P713" s="26">
        <f>Table1[[#This Row],[Costo Servicio]]+Table1[[#This Row],[Refacciones]]</f>
        <v>0</v>
      </c>
      <c r="Q713" s="26"/>
    </row>
    <row r="714" spans="1:17">
      <c r="A714" s="37" t="str">
        <f>IF(Table1[[#This Row],[Tipo de Servicio]]="","",Caratula!$D$15)</f>
        <v/>
      </c>
      <c r="B714" s="37" t="str">
        <f>IF(Table1[[#This Row],[Tipo de Servicio]]="","",Caratula!$D$16)</f>
        <v/>
      </c>
      <c r="C714" s="24" t="str">
        <f>IF(Table1[[#This Row],[Tipo de Servicio]]="","",Caratula!$D$17)</f>
        <v/>
      </c>
      <c r="D714" s="38" t="str">
        <f>IF(ISBLANK(Table1[[#This Row],[Tipo de Servicio]]),"",Caratula!$D$16)</f>
        <v/>
      </c>
      <c r="F714" t="str">
        <f>_xlfn.XLOOKUP(Table1[[#This Row],[SelGZ]]&amp;Table1[[#This Row],[Tipo de Servicio]],CatPEP!A:A,CatPEP!C:C,"")</f>
        <v/>
      </c>
      <c r="G714" t="str">
        <f>_xlfn.XLOOKUP(Table1[[#This Row],[PEP]],CatPEP!C:C,CatPEP!D:D,"")</f>
        <v/>
      </c>
      <c r="O714" s="53">
        <f>SUMIF('Registro Refacciones'!B:B, I714, 'Registro Refacciones'!I:I)</f>
        <v>0</v>
      </c>
      <c r="P714" s="26">
        <f>Table1[[#This Row],[Costo Servicio]]+Table1[[#This Row],[Refacciones]]</f>
        <v>0</v>
      </c>
      <c r="Q714" s="26"/>
    </row>
    <row r="715" spans="1:17">
      <c r="A715" s="37" t="str">
        <f>IF(Table1[[#This Row],[Tipo de Servicio]]="","",Caratula!$D$15)</f>
        <v/>
      </c>
      <c r="B715" s="37" t="str">
        <f>IF(Table1[[#This Row],[Tipo de Servicio]]="","",Caratula!$D$16)</f>
        <v/>
      </c>
      <c r="C715" s="24" t="str">
        <f>IF(Table1[[#This Row],[Tipo de Servicio]]="","",Caratula!$D$17)</f>
        <v/>
      </c>
      <c r="D715" s="38" t="str">
        <f>IF(ISBLANK(Table1[[#This Row],[Tipo de Servicio]]),"",Caratula!$D$16)</f>
        <v/>
      </c>
      <c r="F715" t="str">
        <f>_xlfn.XLOOKUP(Table1[[#This Row],[SelGZ]]&amp;Table1[[#This Row],[Tipo de Servicio]],CatPEP!A:A,CatPEP!C:C,"")</f>
        <v/>
      </c>
      <c r="G715" t="str">
        <f>_xlfn.XLOOKUP(Table1[[#This Row],[PEP]],CatPEP!C:C,CatPEP!D:D,"")</f>
        <v/>
      </c>
      <c r="O715" s="53">
        <f>SUMIF('Registro Refacciones'!B:B, I715, 'Registro Refacciones'!I:I)</f>
        <v>0</v>
      </c>
      <c r="P715" s="26">
        <f>Table1[[#This Row],[Costo Servicio]]+Table1[[#This Row],[Refacciones]]</f>
        <v>0</v>
      </c>
      <c r="Q715" s="26"/>
    </row>
    <row r="716" spans="1:17">
      <c r="A716" s="37" t="str">
        <f>IF(Table1[[#This Row],[Tipo de Servicio]]="","",Caratula!$D$15)</f>
        <v/>
      </c>
      <c r="B716" s="37" t="str">
        <f>IF(Table1[[#This Row],[Tipo de Servicio]]="","",Caratula!$D$16)</f>
        <v/>
      </c>
      <c r="C716" s="24" t="str">
        <f>IF(Table1[[#This Row],[Tipo de Servicio]]="","",Caratula!$D$17)</f>
        <v/>
      </c>
      <c r="D716" s="38" t="str">
        <f>IF(ISBLANK(Table1[[#This Row],[Tipo de Servicio]]),"",Caratula!$D$16)</f>
        <v/>
      </c>
      <c r="F716" t="str">
        <f>_xlfn.XLOOKUP(Table1[[#This Row],[SelGZ]]&amp;Table1[[#This Row],[Tipo de Servicio]],CatPEP!A:A,CatPEP!C:C,"")</f>
        <v/>
      </c>
      <c r="G716" t="str">
        <f>_xlfn.XLOOKUP(Table1[[#This Row],[PEP]],CatPEP!C:C,CatPEP!D:D,"")</f>
        <v/>
      </c>
      <c r="O716" s="53">
        <f>SUMIF('Registro Refacciones'!B:B, I716, 'Registro Refacciones'!I:I)</f>
        <v>0</v>
      </c>
      <c r="P716" s="26">
        <f>Table1[[#This Row],[Costo Servicio]]+Table1[[#This Row],[Refacciones]]</f>
        <v>0</v>
      </c>
      <c r="Q716" s="26"/>
    </row>
    <row r="717" spans="1:17">
      <c r="A717" s="37" t="str">
        <f>IF(Table1[[#This Row],[Tipo de Servicio]]="","",Caratula!$D$15)</f>
        <v/>
      </c>
      <c r="B717" s="37" t="str">
        <f>IF(Table1[[#This Row],[Tipo de Servicio]]="","",Caratula!$D$16)</f>
        <v/>
      </c>
      <c r="C717" s="24" t="str">
        <f>IF(Table1[[#This Row],[Tipo de Servicio]]="","",Caratula!$D$17)</f>
        <v/>
      </c>
      <c r="D717" s="38" t="str">
        <f>IF(ISBLANK(Table1[[#This Row],[Tipo de Servicio]]),"",Caratula!$D$16)</f>
        <v/>
      </c>
      <c r="F717" t="str">
        <f>_xlfn.XLOOKUP(Table1[[#This Row],[SelGZ]]&amp;Table1[[#This Row],[Tipo de Servicio]],CatPEP!A:A,CatPEP!C:C,"")</f>
        <v/>
      </c>
      <c r="G717" t="str">
        <f>_xlfn.XLOOKUP(Table1[[#This Row],[PEP]],CatPEP!C:C,CatPEP!D:D,"")</f>
        <v/>
      </c>
      <c r="O717" s="53">
        <f>SUMIF('Registro Refacciones'!B:B, I717, 'Registro Refacciones'!I:I)</f>
        <v>0</v>
      </c>
      <c r="P717" s="26">
        <f>Table1[[#This Row],[Costo Servicio]]+Table1[[#This Row],[Refacciones]]</f>
        <v>0</v>
      </c>
      <c r="Q717" s="26"/>
    </row>
    <row r="718" spans="1:17">
      <c r="A718" s="37" t="str">
        <f>IF(Table1[[#This Row],[Tipo de Servicio]]="","",Caratula!$D$15)</f>
        <v/>
      </c>
      <c r="B718" s="37" t="str">
        <f>IF(Table1[[#This Row],[Tipo de Servicio]]="","",Caratula!$D$16)</f>
        <v/>
      </c>
      <c r="C718" s="24" t="str">
        <f>IF(Table1[[#This Row],[Tipo de Servicio]]="","",Caratula!$D$17)</f>
        <v/>
      </c>
      <c r="D718" s="38" t="str">
        <f>IF(ISBLANK(Table1[[#This Row],[Tipo de Servicio]]),"",Caratula!$D$16)</f>
        <v/>
      </c>
      <c r="F718" t="str">
        <f>_xlfn.XLOOKUP(Table1[[#This Row],[SelGZ]]&amp;Table1[[#This Row],[Tipo de Servicio]],CatPEP!A:A,CatPEP!C:C,"")</f>
        <v/>
      </c>
      <c r="G718" t="str">
        <f>_xlfn.XLOOKUP(Table1[[#This Row],[PEP]],CatPEP!C:C,CatPEP!D:D,"")</f>
        <v/>
      </c>
      <c r="O718" s="53">
        <f>SUMIF('Registro Refacciones'!B:B, I718, 'Registro Refacciones'!I:I)</f>
        <v>0</v>
      </c>
      <c r="P718" s="26">
        <f>Table1[[#This Row],[Costo Servicio]]+Table1[[#This Row],[Refacciones]]</f>
        <v>0</v>
      </c>
      <c r="Q718" s="26"/>
    </row>
    <row r="719" spans="1:17">
      <c r="A719" s="37" t="str">
        <f>IF(Table1[[#This Row],[Tipo de Servicio]]="","",Caratula!$D$15)</f>
        <v/>
      </c>
      <c r="B719" s="37" t="str">
        <f>IF(Table1[[#This Row],[Tipo de Servicio]]="","",Caratula!$D$16)</f>
        <v/>
      </c>
      <c r="C719" s="24" t="str">
        <f>IF(Table1[[#This Row],[Tipo de Servicio]]="","",Caratula!$D$17)</f>
        <v/>
      </c>
      <c r="D719" s="38" t="str">
        <f>IF(ISBLANK(Table1[[#This Row],[Tipo de Servicio]]),"",Caratula!$D$16)</f>
        <v/>
      </c>
      <c r="F719" t="str">
        <f>_xlfn.XLOOKUP(Table1[[#This Row],[SelGZ]]&amp;Table1[[#This Row],[Tipo de Servicio]],CatPEP!A:A,CatPEP!C:C,"")</f>
        <v/>
      </c>
      <c r="G719" t="str">
        <f>_xlfn.XLOOKUP(Table1[[#This Row],[PEP]],CatPEP!C:C,CatPEP!D:D,"")</f>
        <v/>
      </c>
      <c r="O719" s="53">
        <f>SUMIF('Registro Refacciones'!B:B, I719, 'Registro Refacciones'!I:I)</f>
        <v>0</v>
      </c>
      <c r="P719" s="26">
        <f>Table1[[#This Row],[Costo Servicio]]+Table1[[#This Row],[Refacciones]]</f>
        <v>0</v>
      </c>
      <c r="Q719" s="26"/>
    </row>
    <row r="720" spans="1:17">
      <c r="A720" s="37" t="str">
        <f>IF(Table1[[#This Row],[Tipo de Servicio]]="","",Caratula!$D$15)</f>
        <v/>
      </c>
      <c r="B720" s="37" t="str">
        <f>IF(Table1[[#This Row],[Tipo de Servicio]]="","",Caratula!$D$16)</f>
        <v/>
      </c>
      <c r="C720" s="24" t="str">
        <f>IF(Table1[[#This Row],[Tipo de Servicio]]="","",Caratula!$D$17)</f>
        <v/>
      </c>
      <c r="D720" s="38" t="str">
        <f>IF(ISBLANK(Table1[[#This Row],[Tipo de Servicio]]),"",Caratula!$D$16)</f>
        <v/>
      </c>
      <c r="F720" t="str">
        <f>_xlfn.XLOOKUP(Table1[[#This Row],[SelGZ]]&amp;Table1[[#This Row],[Tipo de Servicio]],CatPEP!A:A,CatPEP!C:C,"")</f>
        <v/>
      </c>
      <c r="G720" t="str">
        <f>_xlfn.XLOOKUP(Table1[[#This Row],[PEP]],CatPEP!C:C,CatPEP!D:D,"")</f>
        <v/>
      </c>
      <c r="O720" s="53">
        <f>SUMIF('Registro Refacciones'!B:B, I720, 'Registro Refacciones'!I:I)</f>
        <v>0</v>
      </c>
      <c r="P720" s="26">
        <f>Table1[[#This Row],[Costo Servicio]]+Table1[[#This Row],[Refacciones]]</f>
        <v>0</v>
      </c>
      <c r="Q720" s="26"/>
    </row>
    <row r="721" spans="1:17">
      <c r="A721" s="37" t="str">
        <f>IF(Table1[[#This Row],[Tipo de Servicio]]="","",Caratula!$D$15)</f>
        <v/>
      </c>
      <c r="B721" s="37" t="str">
        <f>IF(Table1[[#This Row],[Tipo de Servicio]]="","",Caratula!$D$16)</f>
        <v/>
      </c>
      <c r="C721" s="24" t="str">
        <f>IF(Table1[[#This Row],[Tipo de Servicio]]="","",Caratula!$D$17)</f>
        <v/>
      </c>
      <c r="D721" s="38" t="str">
        <f>IF(ISBLANK(Table1[[#This Row],[Tipo de Servicio]]),"",Caratula!$D$16)</f>
        <v/>
      </c>
      <c r="F721" t="str">
        <f>_xlfn.XLOOKUP(Table1[[#This Row],[SelGZ]]&amp;Table1[[#This Row],[Tipo de Servicio]],CatPEP!A:A,CatPEP!C:C,"")</f>
        <v/>
      </c>
      <c r="G721" t="str">
        <f>_xlfn.XLOOKUP(Table1[[#This Row],[PEP]],CatPEP!C:C,CatPEP!D:D,"")</f>
        <v/>
      </c>
      <c r="O721" s="53">
        <f>SUMIF('Registro Refacciones'!B:B, I721, 'Registro Refacciones'!I:I)</f>
        <v>0</v>
      </c>
      <c r="P721" s="26">
        <f>Table1[[#This Row],[Costo Servicio]]+Table1[[#This Row],[Refacciones]]</f>
        <v>0</v>
      </c>
      <c r="Q721" s="26"/>
    </row>
    <row r="722" spans="1:17">
      <c r="A722" s="37" t="str">
        <f>IF(Table1[[#This Row],[Tipo de Servicio]]="","",Caratula!$D$15)</f>
        <v/>
      </c>
      <c r="B722" s="37" t="str">
        <f>IF(Table1[[#This Row],[Tipo de Servicio]]="","",Caratula!$D$16)</f>
        <v/>
      </c>
      <c r="C722" s="24" t="str">
        <f>IF(Table1[[#This Row],[Tipo de Servicio]]="","",Caratula!$D$17)</f>
        <v/>
      </c>
      <c r="D722" s="38" t="str">
        <f>IF(ISBLANK(Table1[[#This Row],[Tipo de Servicio]]),"",Caratula!$D$16)</f>
        <v/>
      </c>
      <c r="F722" t="str">
        <f>_xlfn.XLOOKUP(Table1[[#This Row],[SelGZ]]&amp;Table1[[#This Row],[Tipo de Servicio]],CatPEP!A:A,CatPEP!C:C,"")</f>
        <v/>
      </c>
      <c r="G722" t="str">
        <f>_xlfn.XLOOKUP(Table1[[#This Row],[PEP]],CatPEP!C:C,CatPEP!D:D,"")</f>
        <v/>
      </c>
      <c r="O722" s="53">
        <f>SUMIF('Registro Refacciones'!B:B, I722, 'Registro Refacciones'!I:I)</f>
        <v>0</v>
      </c>
      <c r="P722" s="26">
        <f>Table1[[#This Row],[Costo Servicio]]+Table1[[#This Row],[Refacciones]]</f>
        <v>0</v>
      </c>
      <c r="Q722" s="26"/>
    </row>
    <row r="723" spans="1:17">
      <c r="A723" s="37" t="str">
        <f>IF(Table1[[#This Row],[Tipo de Servicio]]="","",Caratula!$D$15)</f>
        <v/>
      </c>
      <c r="B723" s="37" t="str">
        <f>IF(Table1[[#This Row],[Tipo de Servicio]]="","",Caratula!$D$16)</f>
        <v/>
      </c>
      <c r="C723" s="24" t="str">
        <f>IF(Table1[[#This Row],[Tipo de Servicio]]="","",Caratula!$D$17)</f>
        <v/>
      </c>
      <c r="D723" s="38" t="str">
        <f>IF(ISBLANK(Table1[[#This Row],[Tipo de Servicio]]),"",Caratula!$D$16)</f>
        <v/>
      </c>
      <c r="F723" t="str">
        <f>_xlfn.XLOOKUP(Table1[[#This Row],[SelGZ]]&amp;Table1[[#This Row],[Tipo de Servicio]],CatPEP!A:A,CatPEP!C:C,"")</f>
        <v/>
      </c>
      <c r="G723" t="str">
        <f>_xlfn.XLOOKUP(Table1[[#This Row],[PEP]],CatPEP!C:C,CatPEP!D:D,"")</f>
        <v/>
      </c>
      <c r="O723" s="53">
        <f>SUMIF('Registro Refacciones'!B:B, I723, 'Registro Refacciones'!I:I)</f>
        <v>0</v>
      </c>
      <c r="P723" s="26">
        <f>Table1[[#This Row],[Costo Servicio]]+Table1[[#This Row],[Refacciones]]</f>
        <v>0</v>
      </c>
      <c r="Q723" s="26"/>
    </row>
    <row r="724" spans="1:17">
      <c r="A724" s="37" t="str">
        <f>IF(Table1[[#This Row],[Tipo de Servicio]]="","",Caratula!$D$15)</f>
        <v/>
      </c>
      <c r="B724" s="37" t="str">
        <f>IF(Table1[[#This Row],[Tipo de Servicio]]="","",Caratula!$D$16)</f>
        <v/>
      </c>
      <c r="C724" s="24" t="str">
        <f>IF(Table1[[#This Row],[Tipo de Servicio]]="","",Caratula!$D$17)</f>
        <v/>
      </c>
      <c r="D724" s="38" t="str">
        <f>IF(ISBLANK(Table1[[#This Row],[Tipo de Servicio]]),"",Caratula!$D$16)</f>
        <v/>
      </c>
      <c r="F724" t="str">
        <f>_xlfn.XLOOKUP(Table1[[#This Row],[SelGZ]]&amp;Table1[[#This Row],[Tipo de Servicio]],CatPEP!A:A,CatPEP!C:C,"")</f>
        <v/>
      </c>
      <c r="G724" t="str">
        <f>_xlfn.XLOOKUP(Table1[[#This Row],[PEP]],CatPEP!C:C,CatPEP!D:D,"")</f>
        <v/>
      </c>
      <c r="O724" s="53">
        <f>SUMIF('Registro Refacciones'!B:B, I724, 'Registro Refacciones'!I:I)</f>
        <v>0</v>
      </c>
      <c r="P724" s="26">
        <f>Table1[[#This Row],[Costo Servicio]]+Table1[[#This Row],[Refacciones]]</f>
        <v>0</v>
      </c>
      <c r="Q724" s="26"/>
    </row>
    <row r="725" spans="1:17">
      <c r="A725" s="37" t="str">
        <f>IF(Table1[[#This Row],[Tipo de Servicio]]="","",Caratula!$D$15)</f>
        <v/>
      </c>
      <c r="B725" s="37" t="str">
        <f>IF(Table1[[#This Row],[Tipo de Servicio]]="","",Caratula!$D$16)</f>
        <v/>
      </c>
      <c r="C725" s="24" t="str">
        <f>IF(Table1[[#This Row],[Tipo de Servicio]]="","",Caratula!$D$17)</f>
        <v/>
      </c>
      <c r="D725" s="38" t="str">
        <f>IF(ISBLANK(Table1[[#This Row],[Tipo de Servicio]]),"",Caratula!$D$16)</f>
        <v/>
      </c>
      <c r="F725" t="str">
        <f>_xlfn.XLOOKUP(Table1[[#This Row],[SelGZ]]&amp;Table1[[#This Row],[Tipo de Servicio]],CatPEP!A:A,CatPEP!C:C,"")</f>
        <v/>
      </c>
      <c r="G725" t="str">
        <f>_xlfn.XLOOKUP(Table1[[#This Row],[PEP]],CatPEP!C:C,CatPEP!D:D,"")</f>
        <v/>
      </c>
      <c r="O725" s="53">
        <f>SUMIF('Registro Refacciones'!B:B, I725, 'Registro Refacciones'!I:I)</f>
        <v>0</v>
      </c>
      <c r="P725" s="26">
        <f>Table1[[#This Row],[Costo Servicio]]+Table1[[#This Row],[Refacciones]]</f>
        <v>0</v>
      </c>
      <c r="Q725" s="26"/>
    </row>
    <row r="726" spans="1:17">
      <c r="A726" s="37" t="str">
        <f>IF(Table1[[#This Row],[Tipo de Servicio]]="","",Caratula!$D$15)</f>
        <v/>
      </c>
      <c r="B726" s="37" t="str">
        <f>IF(Table1[[#This Row],[Tipo de Servicio]]="","",Caratula!$D$16)</f>
        <v/>
      </c>
      <c r="C726" s="24" t="str">
        <f>IF(Table1[[#This Row],[Tipo de Servicio]]="","",Caratula!$D$17)</f>
        <v/>
      </c>
      <c r="D726" s="38" t="str">
        <f>IF(ISBLANK(Table1[[#This Row],[Tipo de Servicio]]),"",Caratula!$D$16)</f>
        <v/>
      </c>
      <c r="F726" t="str">
        <f>_xlfn.XLOOKUP(Table1[[#This Row],[SelGZ]]&amp;Table1[[#This Row],[Tipo de Servicio]],CatPEP!A:A,CatPEP!C:C,"")</f>
        <v/>
      </c>
      <c r="G726" t="str">
        <f>_xlfn.XLOOKUP(Table1[[#This Row],[PEP]],CatPEP!C:C,CatPEP!D:D,"")</f>
        <v/>
      </c>
      <c r="O726" s="53">
        <f>SUMIF('Registro Refacciones'!B:B, I726, 'Registro Refacciones'!I:I)</f>
        <v>0</v>
      </c>
      <c r="P726" s="26">
        <f>Table1[[#This Row],[Costo Servicio]]+Table1[[#This Row],[Refacciones]]</f>
        <v>0</v>
      </c>
      <c r="Q726" s="26"/>
    </row>
    <row r="727" spans="1:17">
      <c r="A727" s="37" t="str">
        <f>IF(Table1[[#This Row],[Tipo de Servicio]]="","",Caratula!$D$15)</f>
        <v/>
      </c>
      <c r="B727" s="37" t="str">
        <f>IF(Table1[[#This Row],[Tipo de Servicio]]="","",Caratula!$D$16)</f>
        <v/>
      </c>
      <c r="C727" s="24" t="str">
        <f>IF(Table1[[#This Row],[Tipo de Servicio]]="","",Caratula!$D$17)</f>
        <v/>
      </c>
      <c r="D727" s="38" t="str">
        <f>IF(ISBLANK(Table1[[#This Row],[Tipo de Servicio]]),"",Caratula!$D$16)</f>
        <v/>
      </c>
      <c r="F727" t="str">
        <f>_xlfn.XLOOKUP(Table1[[#This Row],[SelGZ]]&amp;Table1[[#This Row],[Tipo de Servicio]],CatPEP!A:A,CatPEP!C:C,"")</f>
        <v/>
      </c>
      <c r="G727" t="str">
        <f>_xlfn.XLOOKUP(Table1[[#This Row],[PEP]],CatPEP!C:C,CatPEP!D:D,"")</f>
        <v/>
      </c>
      <c r="O727" s="53">
        <f>SUMIF('Registro Refacciones'!B:B, I727, 'Registro Refacciones'!I:I)</f>
        <v>0</v>
      </c>
      <c r="P727" s="26">
        <f>Table1[[#This Row],[Costo Servicio]]+Table1[[#This Row],[Refacciones]]</f>
        <v>0</v>
      </c>
      <c r="Q727" s="26"/>
    </row>
    <row r="728" spans="1:17">
      <c r="A728" s="37" t="str">
        <f>IF(Table1[[#This Row],[Tipo de Servicio]]="","",Caratula!$D$15)</f>
        <v/>
      </c>
      <c r="B728" s="37" t="str">
        <f>IF(Table1[[#This Row],[Tipo de Servicio]]="","",Caratula!$D$16)</f>
        <v/>
      </c>
      <c r="C728" s="24" t="str">
        <f>IF(Table1[[#This Row],[Tipo de Servicio]]="","",Caratula!$D$17)</f>
        <v/>
      </c>
      <c r="D728" s="38" t="str">
        <f>IF(ISBLANK(Table1[[#This Row],[Tipo de Servicio]]),"",Caratula!$D$16)</f>
        <v/>
      </c>
      <c r="F728" t="str">
        <f>_xlfn.XLOOKUP(Table1[[#This Row],[SelGZ]]&amp;Table1[[#This Row],[Tipo de Servicio]],CatPEP!A:A,CatPEP!C:C,"")</f>
        <v/>
      </c>
      <c r="G728" t="str">
        <f>_xlfn.XLOOKUP(Table1[[#This Row],[PEP]],CatPEP!C:C,CatPEP!D:D,"")</f>
        <v/>
      </c>
      <c r="O728" s="53">
        <f>SUMIF('Registro Refacciones'!B:B, I728, 'Registro Refacciones'!I:I)</f>
        <v>0</v>
      </c>
      <c r="P728" s="26">
        <f>Table1[[#This Row],[Costo Servicio]]+Table1[[#This Row],[Refacciones]]</f>
        <v>0</v>
      </c>
      <c r="Q728" s="26"/>
    </row>
    <row r="729" spans="1:17">
      <c r="A729" s="37" t="str">
        <f>IF(Table1[[#This Row],[Tipo de Servicio]]="","",Caratula!$D$15)</f>
        <v/>
      </c>
      <c r="B729" s="37" t="str">
        <f>IF(Table1[[#This Row],[Tipo de Servicio]]="","",Caratula!$D$16)</f>
        <v/>
      </c>
      <c r="C729" s="24" t="str">
        <f>IF(Table1[[#This Row],[Tipo de Servicio]]="","",Caratula!$D$17)</f>
        <v/>
      </c>
      <c r="D729" s="38" t="str">
        <f>IF(ISBLANK(Table1[[#This Row],[Tipo de Servicio]]),"",Caratula!$D$16)</f>
        <v/>
      </c>
      <c r="F729" t="str">
        <f>_xlfn.XLOOKUP(Table1[[#This Row],[SelGZ]]&amp;Table1[[#This Row],[Tipo de Servicio]],CatPEP!A:A,CatPEP!C:C,"")</f>
        <v/>
      </c>
      <c r="G729" t="str">
        <f>_xlfn.XLOOKUP(Table1[[#This Row],[PEP]],CatPEP!C:C,CatPEP!D:D,"")</f>
        <v/>
      </c>
      <c r="O729" s="53">
        <f>SUMIF('Registro Refacciones'!B:B, I729, 'Registro Refacciones'!I:I)</f>
        <v>0</v>
      </c>
      <c r="P729" s="26">
        <f>Table1[[#This Row],[Costo Servicio]]+Table1[[#This Row],[Refacciones]]</f>
        <v>0</v>
      </c>
      <c r="Q729" s="26"/>
    </row>
    <row r="730" spans="1:17">
      <c r="A730" s="37" t="str">
        <f>IF(Table1[[#This Row],[Tipo de Servicio]]="","",Caratula!$D$15)</f>
        <v/>
      </c>
      <c r="B730" s="37" t="str">
        <f>IF(Table1[[#This Row],[Tipo de Servicio]]="","",Caratula!$D$16)</f>
        <v/>
      </c>
      <c r="C730" s="24" t="str">
        <f>IF(Table1[[#This Row],[Tipo de Servicio]]="","",Caratula!$D$17)</f>
        <v/>
      </c>
      <c r="D730" s="38" t="str">
        <f>IF(ISBLANK(Table1[[#This Row],[Tipo de Servicio]]),"",Caratula!$D$16)</f>
        <v/>
      </c>
      <c r="F730" t="str">
        <f>_xlfn.XLOOKUP(Table1[[#This Row],[SelGZ]]&amp;Table1[[#This Row],[Tipo de Servicio]],CatPEP!A:A,CatPEP!C:C,"")</f>
        <v/>
      </c>
      <c r="G730" t="str">
        <f>_xlfn.XLOOKUP(Table1[[#This Row],[PEP]],CatPEP!C:C,CatPEP!D:D,"")</f>
        <v/>
      </c>
      <c r="O730" s="53">
        <f>SUMIF('Registro Refacciones'!B:B, I730, 'Registro Refacciones'!I:I)</f>
        <v>0</v>
      </c>
      <c r="P730" s="26">
        <f>Table1[[#This Row],[Costo Servicio]]+Table1[[#This Row],[Refacciones]]</f>
        <v>0</v>
      </c>
      <c r="Q730" s="26"/>
    </row>
    <row r="731" spans="1:17">
      <c r="A731" s="37" t="str">
        <f>IF(Table1[[#This Row],[Tipo de Servicio]]="","",Caratula!$D$15)</f>
        <v/>
      </c>
      <c r="B731" s="37" t="str">
        <f>IF(Table1[[#This Row],[Tipo de Servicio]]="","",Caratula!$D$16)</f>
        <v/>
      </c>
      <c r="C731" s="24" t="str">
        <f>IF(Table1[[#This Row],[Tipo de Servicio]]="","",Caratula!$D$17)</f>
        <v/>
      </c>
      <c r="D731" s="38" t="str">
        <f>IF(ISBLANK(Table1[[#This Row],[Tipo de Servicio]]),"",Caratula!$D$16)</f>
        <v/>
      </c>
      <c r="F731" t="str">
        <f>_xlfn.XLOOKUP(Table1[[#This Row],[SelGZ]]&amp;Table1[[#This Row],[Tipo de Servicio]],CatPEP!A:A,CatPEP!C:C,"")</f>
        <v/>
      </c>
      <c r="G731" t="str">
        <f>_xlfn.XLOOKUP(Table1[[#This Row],[PEP]],CatPEP!C:C,CatPEP!D:D,"")</f>
        <v/>
      </c>
      <c r="O731" s="53">
        <f>SUMIF('Registro Refacciones'!B:B, I731, 'Registro Refacciones'!I:I)</f>
        <v>0</v>
      </c>
      <c r="P731" s="26">
        <f>Table1[[#This Row],[Costo Servicio]]+Table1[[#This Row],[Refacciones]]</f>
        <v>0</v>
      </c>
      <c r="Q731" s="26"/>
    </row>
    <row r="732" spans="1:17">
      <c r="A732" s="37" t="str">
        <f>IF(Table1[[#This Row],[Tipo de Servicio]]="","",Caratula!$D$15)</f>
        <v/>
      </c>
      <c r="B732" s="37" t="str">
        <f>IF(Table1[[#This Row],[Tipo de Servicio]]="","",Caratula!$D$16)</f>
        <v/>
      </c>
      <c r="C732" s="24" t="str">
        <f>IF(Table1[[#This Row],[Tipo de Servicio]]="","",Caratula!$D$17)</f>
        <v/>
      </c>
      <c r="D732" s="38" t="str">
        <f>IF(ISBLANK(Table1[[#This Row],[Tipo de Servicio]]),"",Caratula!$D$16)</f>
        <v/>
      </c>
      <c r="F732" t="str">
        <f>_xlfn.XLOOKUP(Table1[[#This Row],[SelGZ]]&amp;Table1[[#This Row],[Tipo de Servicio]],CatPEP!A:A,CatPEP!C:C,"")</f>
        <v/>
      </c>
      <c r="G732" t="str">
        <f>_xlfn.XLOOKUP(Table1[[#This Row],[PEP]],CatPEP!C:C,CatPEP!D:D,"")</f>
        <v/>
      </c>
      <c r="O732" s="53">
        <f>SUMIF('Registro Refacciones'!B:B, I732, 'Registro Refacciones'!I:I)</f>
        <v>0</v>
      </c>
      <c r="P732" s="26">
        <f>Table1[[#This Row],[Costo Servicio]]+Table1[[#This Row],[Refacciones]]</f>
        <v>0</v>
      </c>
      <c r="Q732" s="26"/>
    </row>
    <row r="733" spans="1:17">
      <c r="A733" s="37" t="str">
        <f>IF(Table1[[#This Row],[Tipo de Servicio]]="","",Caratula!$D$15)</f>
        <v/>
      </c>
      <c r="B733" s="37" t="str">
        <f>IF(Table1[[#This Row],[Tipo de Servicio]]="","",Caratula!$D$16)</f>
        <v/>
      </c>
      <c r="C733" s="24" t="str">
        <f>IF(Table1[[#This Row],[Tipo de Servicio]]="","",Caratula!$D$17)</f>
        <v/>
      </c>
      <c r="D733" s="38" t="str">
        <f>IF(ISBLANK(Table1[[#This Row],[Tipo de Servicio]]),"",Caratula!$D$16)</f>
        <v/>
      </c>
      <c r="F733" t="str">
        <f>_xlfn.XLOOKUP(Table1[[#This Row],[SelGZ]]&amp;Table1[[#This Row],[Tipo de Servicio]],CatPEP!A:A,CatPEP!C:C,"")</f>
        <v/>
      </c>
      <c r="G733" t="str">
        <f>_xlfn.XLOOKUP(Table1[[#This Row],[PEP]],CatPEP!C:C,CatPEP!D:D,"")</f>
        <v/>
      </c>
      <c r="O733" s="53">
        <f>SUMIF('Registro Refacciones'!B:B, I733, 'Registro Refacciones'!I:I)</f>
        <v>0</v>
      </c>
      <c r="P733" s="26">
        <f>Table1[[#This Row],[Costo Servicio]]+Table1[[#This Row],[Refacciones]]</f>
        <v>0</v>
      </c>
      <c r="Q733" s="26"/>
    </row>
    <row r="734" spans="1:17">
      <c r="A734" s="37" t="str">
        <f>IF(Table1[[#This Row],[Tipo de Servicio]]="","",Caratula!$D$15)</f>
        <v/>
      </c>
      <c r="B734" s="37" t="str">
        <f>IF(Table1[[#This Row],[Tipo de Servicio]]="","",Caratula!$D$16)</f>
        <v/>
      </c>
      <c r="C734" s="24" t="str">
        <f>IF(Table1[[#This Row],[Tipo de Servicio]]="","",Caratula!$D$17)</f>
        <v/>
      </c>
      <c r="D734" s="38" t="str">
        <f>IF(ISBLANK(Table1[[#This Row],[Tipo de Servicio]]),"",Caratula!$D$16)</f>
        <v/>
      </c>
      <c r="F734" t="str">
        <f>_xlfn.XLOOKUP(Table1[[#This Row],[SelGZ]]&amp;Table1[[#This Row],[Tipo de Servicio]],CatPEP!A:A,CatPEP!C:C,"")</f>
        <v/>
      </c>
      <c r="G734" t="str">
        <f>_xlfn.XLOOKUP(Table1[[#This Row],[PEP]],CatPEP!C:C,CatPEP!D:D,"")</f>
        <v/>
      </c>
      <c r="O734" s="53">
        <f>SUMIF('Registro Refacciones'!B:B, I734, 'Registro Refacciones'!I:I)</f>
        <v>0</v>
      </c>
      <c r="P734" s="26">
        <f>Table1[[#This Row],[Costo Servicio]]+Table1[[#This Row],[Refacciones]]</f>
        <v>0</v>
      </c>
      <c r="Q734" s="26"/>
    </row>
    <row r="735" spans="1:17">
      <c r="A735" s="37" t="str">
        <f>IF(Table1[[#This Row],[Tipo de Servicio]]="","",Caratula!$D$15)</f>
        <v/>
      </c>
      <c r="B735" s="37" t="str">
        <f>IF(Table1[[#This Row],[Tipo de Servicio]]="","",Caratula!$D$16)</f>
        <v/>
      </c>
      <c r="C735" s="24" t="str">
        <f>IF(Table1[[#This Row],[Tipo de Servicio]]="","",Caratula!$D$17)</f>
        <v/>
      </c>
      <c r="D735" s="38" t="str">
        <f>IF(ISBLANK(Table1[[#This Row],[Tipo de Servicio]]),"",Caratula!$D$16)</f>
        <v/>
      </c>
      <c r="F735" t="str">
        <f>_xlfn.XLOOKUP(Table1[[#This Row],[SelGZ]]&amp;Table1[[#This Row],[Tipo de Servicio]],CatPEP!A:A,CatPEP!C:C,"")</f>
        <v/>
      </c>
      <c r="G735" t="str">
        <f>_xlfn.XLOOKUP(Table1[[#This Row],[PEP]],CatPEP!C:C,CatPEP!D:D,"")</f>
        <v/>
      </c>
      <c r="O735" s="53">
        <f>SUMIF('Registro Refacciones'!B:B, I735, 'Registro Refacciones'!I:I)</f>
        <v>0</v>
      </c>
      <c r="P735" s="26">
        <f>Table1[[#This Row],[Costo Servicio]]+Table1[[#This Row],[Refacciones]]</f>
        <v>0</v>
      </c>
      <c r="Q735" s="26"/>
    </row>
    <row r="736" spans="1:17">
      <c r="A736" s="37" t="str">
        <f>IF(Table1[[#This Row],[Tipo de Servicio]]="","",Caratula!$D$15)</f>
        <v/>
      </c>
      <c r="B736" s="37" t="str">
        <f>IF(Table1[[#This Row],[Tipo de Servicio]]="","",Caratula!$D$16)</f>
        <v/>
      </c>
      <c r="C736" s="24" t="str">
        <f>IF(Table1[[#This Row],[Tipo de Servicio]]="","",Caratula!$D$17)</f>
        <v/>
      </c>
      <c r="D736" s="38" t="str">
        <f>IF(ISBLANK(Table1[[#This Row],[Tipo de Servicio]]),"",Caratula!$D$16)</f>
        <v/>
      </c>
      <c r="F736" t="str">
        <f>_xlfn.XLOOKUP(Table1[[#This Row],[SelGZ]]&amp;Table1[[#This Row],[Tipo de Servicio]],CatPEP!A:A,CatPEP!C:C,"")</f>
        <v/>
      </c>
      <c r="G736" t="str">
        <f>_xlfn.XLOOKUP(Table1[[#This Row],[PEP]],CatPEP!C:C,CatPEP!D:D,"")</f>
        <v/>
      </c>
      <c r="O736" s="53">
        <f>SUMIF('Registro Refacciones'!B:B, I736, 'Registro Refacciones'!I:I)</f>
        <v>0</v>
      </c>
      <c r="P736" s="26">
        <f>Table1[[#This Row],[Costo Servicio]]+Table1[[#This Row],[Refacciones]]</f>
        <v>0</v>
      </c>
      <c r="Q736" s="26"/>
    </row>
    <row r="737" spans="1:17">
      <c r="A737" s="37" t="str">
        <f>IF(Table1[[#This Row],[Tipo de Servicio]]="","",Caratula!$D$15)</f>
        <v/>
      </c>
      <c r="B737" s="37" t="str">
        <f>IF(Table1[[#This Row],[Tipo de Servicio]]="","",Caratula!$D$16)</f>
        <v/>
      </c>
      <c r="C737" s="24" t="str">
        <f>IF(Table1[[#This Row],[Tipo de Servicio]]="","",Caratula!$D$17)</f>
        <v/>
      </c>
      <c r="D737" s="38" t="str">
        <f>IF(ISBLANK(Table1[[#This Row],[Tipo de Servicio]]),"",Caratula!$D$16)</f>
        <v/>
      </c>
      <c r="F737" t="str">
        <f>_xlfn.XLOOKUP(Table1[[#This Row],[SelGZ]]&amp;Table1[[#This Row],[Tipo de Servicio]],CatPEP!A:A,CatPEP!C:C,"")</f>
        <v/>
      </c>
      <c r="G737" t="str">
        <f>_xlfn.XLOOKUP(Table1[[#This Row],[PEP]],CatPEP!C:C,CatPEP!D:D,"")</f>
        <v/>
      </c>
      <c r="O737" s="53">
        <f>SUMIF('Registro Refacciones'!B:B, I737, 'Registro Refacciones'!I:I)</f>
        <v>0</v>
      </c>
      <c r="P737" s="26">
        <f>Table1[[#This Row],[Costo Servicio]]+Table1[[#This Row],[Refacciones]]</f>
        <v>0</v>
      </c>
      <c r="Q737" s="26"/>
    </row>
    <row r="738" spans="1:17">
      <c r="A738" s="37" t="str">
        <f>IF(Table1[[#This Row],[Tipo de Servicio]]="","",Caratula!$D$15)</f>
        <v/>
      </c>
      <c r="B738" s="37" t="str">
        <f>IF(Table1[[#This Row],[Tipo de Servicio]]="","",Caratula!$D$16)</f>
        <v/>
      </c>
      <c r="C738" s="24" t="str">
        <f>IF(Table1[[#This Row],[Tipo de Servicio]]="","",Caratula!$D$17)</f>
        <v/>
      </c>
      <c r="D738" s="38" t="str">
        <f>IF(ISBLANK(Table1[[#This Row],[Tipo de Servicio]]),"",Caratula!$D$16)</f>
        <v/>
      </c>
      <c r="F738" t="str">
        <f>_xlfn.XLOOKUP(Table1[[#This Row],[SelGZ]]&amp;Table1[[#This Row],[Tipo de Servicio]],CatPEP!A:A,CatPEP!C:C,"")</f>
        <v/>
      </c>
      <c r="G738" t="str">
        <f>_xlfn.XLOOKUP(Table1[[#This Row],[PEP]],CatPEP!C:C,CatPEP!D:D,"")</f>
        <v/>
      </c>
      <c r="O738" s="53">
        <f>SUMIF('Registro Refacciones'!B:B, I738, 'Registro Refacciones'!I:I)</f>
        <v>0</v>
      </c>
      <c r="P738" s="26">
        <f>Table1[[#This Row],[Costo Servicio]]+Table1[[#This Row],[Refacciones]]</f>
        <v>0</v>
      </c>
      <c r="Q738" s="26"/>
    </row>
    <row r="739" spans="1:17">
      <c r="A739" s="37" t="str">
        <f>IF(Table1[[#This Row],[Tipo de Servicio]]="","",Caratula!$D$15)</f>
        <v/>
      </c>
      <c r="B739" s="37" t="str">
        <f>IF(Table1[[#This Row],[Tipo de Servicio]]="","",Caratula!$D$16)</f>
        <v/>
      </c>
      <c r="C739" s="24" t="str">
        <f>IF(Table1[[#This Row],[Tipo de Servicio]]="","",Caratula!$D$17)</f>
        <v/>
      </c>
      <c r="D739" s="38" t="str">
        <f>IF(ISBLANK(Table1[[#This Row],[Tipo de Servicio]]),"",Caratula!$D$16)</f>
        <v/>
      </c>
      <c r="F739" t="str">
        <f>_xlfn.XLOOKUP(Table1[[#This Row],[SelGZ]]&amp;Table1[[#This Row],[Tipo de Servicio]],CatPEP!A:A,CatPEP!C:C,"")</f>
        <v/>
      </c>
      <c r="G739" t="str">
        <f>_xlfn.XLOOKUP(Table1[[#This Row],[PEP]],CatPEP!C:C,CatPEP!D:D,"")</f>
        <v/>
      </c>
      <c r="O739" s="53">
        <f>SUMIF('Registro Refacciones'!B:B, I739, 'Registro Refacciones'!I:I)</f>
        <v>0</v>
      </c>
      <c r="P739" s="26">
        <f>Table1[[#This Row],[Costo Servicio]]+Table1[[#This Row],[Refacciones]]</f>
        <v>0</v>
      </c>
      <c r="Q739" s="26"/>
    </row>
    <row r="740" spans="1:17">
      <c r="A740" s="37" t="str">
        <f>IF(Table1[[#This Row],[Tipo de Servicio]]="","",Caratula!$D$15)</f>
        <v/>
      </c>
      <c r="B740" s="37" t="str">
        <f>IF(Table1[[#This Row],[Tipo de Servicio]]="","",Caratula!$D$16)</f>
        <v/>
      </c>
      <c r="C740" s="24" t="str">
        <f>IF(Table1[[#This Row],[Tipo de Servicio]]="","",Caratula!$D$17)</f>
        <v/>
      </c>
      <c r="D740" s="38" t="str">
        <f>IF(ISBLANK(Table1[[#This Row],[Tipo de Servicio]]),"",Caratula!$D$16)</f>
        <v/>
      </c>
      <c r="F740" t="str">
        <f>_xlfn.XLOOKUP(Table1[[#This Row],[SelGZ]]&amp;Table1[[#This Row],[Tipo de Servicio]],CatPEP!A:A,CatPEP!C:C,"")</f>
        <v/>
      </c>
      <c r="G740" t="str">
        <f>_xlfn.XLOOKUP(Table1[[#This Row],[PEP]],CatPEP!C:C,CatPEP!D:D,"")</f>
        <v/>
      </c>
      <c r="O740" s="53">
        <f>SUMIF('Registro Refacciones'!B:B, I740, 'Registro Refacciones'!I:I)</f>
        <v>0</v>
      </c>
      <c r="P740" s="26">
        <f>Table1[[#This Row],[Costo Servicio]]+Table1[[#This Row],[Refacciones]]</f>
        <v>0</v>
      </c>
      <c r="Q740" s="26"/>
    </row>
    <row r="741" spans="1:17">
      <c r="A741" s="37" t="str">
        <f>IF(Table1[[#This Row],[Tipo de Servicio]]="","",Caratula!$D$15)</f>
        <v/>
      </c>
      <c r="B741" s="37" t="str">
        <f>IF(Table1[[#This Row],[Tipo de Servicio]]="","",Caratula!$D$16)</f>
        <v/>
      </c>
      <c r="C741" s="24" t="str">
        <f>IF(Table1[[#This Row],[Tipo de Servicio]]="","",Caratula!$D$17)</f>
        <v/>
      </c>
      <c r="D741" s="38" t="str">
        <f>IF(ISBLANK(Table1[[#This Row],[Tipo de Servicio]]),"",Caratula!$D$16)</f>
        <v/>
      </c>
      <c r="F741" t="str">
        <f>_xlfn.XLOOKUP(Table1[[#This Row],[SelGZ]]&amp;Table1[[#This Row],[Tipo de Servicio]],CatPEP!A:A,CatPEP!C:C,"")</f>
        <v/>
      </c>
      <c r="G741" t="str">
        <f>_xlfn.XLOOKUP(Table1[[#This Row],[PEP]],CatPEP!C:C,CatPEP!D:D,"")</f>
        <v/>
      </c>
      <c r="O741" s="53">
        <f>SUMIF('Registro Refacciones'!B:B, I741, 'Registro Refacciones'!I:I)</f>
        <v>0</v>
      </c>
      <c r="P741" s="26">
        <f>Table1[[#This Row],[Costo Servicio]]+Table1[[#This Row],[Refacciones]]</f>
        <v>0</v>
      </c>
      <c r="Q741" s="26"/>
    </row>
    <row r="742" spans="1:17">
      <c r="A742" s="37" t="str">
        <f>IF(Table1[[#This Row],[Tipo de Servicio]]="","",Caratula!$D$15)</f>
        <v/>
      </c>
      <c r="B742" s="37" t="str">
        <f>IF(Table1[[#This Row],[Tipo de Servicio]]="","",Caratula!$D$16)</f>
        <v/>
      </c>
      <c r="C742" s="24" t="str">
        <f>IF(Table1[[#This Row],[Tipo de Servicio]]="","",Caratula!$D$17)</f>
        <v/>
      </c>
      <c r="D742" s="38" t="str">
        <f>IF(ISBLANK(Table1[[#This Row],[Tipo de Servicio]]),"",Caratula!$D$16)</f>
        <v/>
      </c>
      <c r="F742" t="str">
        <f>_xlfn.XLOOKUP(Table1[[#This Row],[SelGZ]]&amp;Table1[[#This Row],[Tipo de Servicio]],CatPEP!A:A,CatPEP!C:C,"")</f>
        <v/>
      </c>
      <c r="G742" t="str">
        <f>_xlfn.XLOOKUP(Table1[[#This Row],[PEP]],CatPEP!C:C,CatPEP!D:D,"")</f>
        <v/>
      </c>
      <c r="O742" s="53">
        <f>SUMIF('Registro Refacciones'!B:B, I742, 'Registro Refacciones'!I:I)</f>
        <v>0</v>
      </c>
      <c r="P742" s="26">
        <f>Table1[[#This Row],[Costo Servicio]]+Table1[[#This Row],[Refacciones]]</f>
        <v>0</v>
      </c>
      <c r="Q742" s="26"/>
    </row>
    <row r="743" spans="1:17">
      <c r="A743" s="37" t="str">
        <f>IF(Table1[[#This Row],[Tipo de Servicio]]="","",Caratula!$D$15)</f>
        <v/>
      </c>
      <c r="B743" s="37" t="str">
        <f>IF(Table1[[#This Row],[Tipo de Servicio]]="","",Caratula!$D$16)</f>
        <v/>
      </c>
      <c r="C743" s="24" t="str">
        <f>IF(Table1[[#This Row],[Tipo de Servicio]]="","",Caratula!$D$17)</f>
        <v/>
      </c>
      <c r="D743" s="38" t="str">
        <f>IF(ISBLANK(Table1[[#This Row],[Tipo de Servicio]]),"",Caratula!$D$16)</f>
        <v/>
      </c>
      <c r="F743" t="str">
        <f>_xlfn.XLOOKUP(Table1[[#This Row],[SelGZ]]&amp;Table1[[#This Row],[Tipo de Servicio]],CatPEP!A:A,CatPEP!C:C,"")</f>
        <v/>
      </c>
      <c r="G743" t="str">
        <f>_xlfn.XLOOKUP(Table1[[#This Row],[PEP]],CatPEP!C:C,CatPEP!D:D,"")</f>
        <v/>
      </c>
      <c r="O743" s="53">
        <f>SUMIF('Registro Refacciones'!B:B, I743, 'Registro Refacciones'!I:I)</f>
        <v>0</v>
      </c>
      <c r="P743" s="26">
        <f>Table1[[#This Row],[Costo Servicio]]+Table1[[#This Row],[Refacciones]]</f>
        <v>0</v>
      </c>
      <c r="Q743" s="26"/>
    </row>
    <row r="744" spans="1:17">
      <c r="A744" s="37" t="str">
        <f>IF(Table1[[#This Row],[Tipo de Servicio]]="","",Caratula!$D$15)</f>
        <v/>
      </c>
      <c r="B744" s="37" t="str">
        <f>IF(Table1[[#This Row],[Tipo de Servicio]]="","",Caratula!$D$16)</f>
        <v/>
      </c>
      <c r="C744" s="24" t="str">
        <f>IF(Table1[[#This Row],[Tipo de Servicio]]="","",Caratula!$D$17)</f>
        <v/>
      </c>
      <c r="D744" s="38" t="str">
        <f>IF(ISBLANK(Table1[[#This Row],[Tipo de Servicio]]),"",Caratula!$D$16)</f>
        <v/>
      </c>
      <c r="F744" t="str">
        <f>_xlfn.XLOOKUP(Table1[[#This Row],[SelGZ]]&amp;Table1[[#This Row],[Tipo de Servicio]],CatPEP!A:A,CatPEP!C:C,"")</f>
        <v/>
      </c>
      <c r="G744" t="str">
        <f>_xlfn.XLOOKUP(Table1[[#This Row],[PEP]],CatPEP!C:C,CatPEP!D:D,"")</f>
        <v/>
      </c>
      <c r="O744" s="53">
        <f>SUMIF('Registro Refacciones'!B:B, I744, 'Registro Refacciones'!I:I)</f>
        <v>0</v>
      </c>
      <c r="P744" s="26">
        <f>Table1[[#This Row],[Costo Servicio]]+Table1[[#This Row],[Refacciones]]</f>
        <v>0</v>
      </c>
      <c r="Q744" s="26"/>
    </row>
    <row r="745" spans="1:17">
      <c r="A745" s="37" t="str">
        <f>IF(Table1[[#This Row],[Tipo de Servicio]]="","",Caratula!$D$15)</f>
        <v/>
      </c>
      <c r="B745" s="37" t="str">
        <f>IF(Table1[[#This Row],[Tipo de Servicio]]="","",Caratula!$D$16)</f>
        <v/>
      </c>
      <c r="C745" s="24" t="str">
        <f>IF(Table1[[#This Row],[Tipo de Servicio]]="","",Caratula!$D$17)</f>
        <v/>
      </c>
      <c r="D745" s="38" t="str">
        <f>IF(ISBLANK(Table1[[#This Row],[Tipo de Servicio]]),"",Caratula!$D$16)</f>
        <v/>
      </c>
      <c r="F745" t="str">
        <f>_xlfn.XLOOKUP(Table1[[#This Row],[SelGZ]]&amp;Table1[[#This Row],[Tipo de Servicio]],CatPEP!A:A,CatPEP!C:C,"")</f>
        <v/>
      </c>
      <c r="G745" t="str">
        <f>_xlfn.XLOOKUP(Table1[[#This Row],[PEP]],CatPEP!C:C,CatPEP!D:D,"")</f>
        <v/>
      </c>
      <c r="O745" s="53">
        <f>SUMIF('Registro Refacciones'!B:B, I745, 'Registro Refacciones'!I:I)</f>
        <v>0</v>
      </c>
      <c r="P745" s="26">
        <f>Table1[[#This Row],[Costo Servicio]]+Table1[[#This Row],[Refacciones]]</f>
        <v>0</v>
      </c>
      <c r="Q745" s="26"/>
    </row>
    <row r="746" spans="1:17">
      <c r="A746" s="37" t="str">
        <f>IF(Table1[[#This Row],[Tipo de Servicio]]="","",Caratula!$D$15)</f>
        <v/>
      </c>
      <c r="B746" s="37" t="str">
        <f>IF(Table1[[#This Row],[Tipo de Servicio]]="","",Caratula!$D$16)</f>
        <v/>
      </c>
      <c r="C746" s="24" t="str">
        <f>IF(Table1[[#This Row],[Tipo de Servicio]]="","",Caratula!$D$17)</f>
        <v/>
      </c>
      <c r="D746" s="38" t="str">
        <f>IF(ISBLANK(Table1[[#This Row],[Tipo de Servicio]]),"",Caratula!$D$16)</f>
        <v/>
      </c>
      <c r="F746" t="str">
        <f>_xlfn.XLOOKUP(Table1[[#This Row],[SelGZ]]&amp;Table1[[#This Row],[Tipo de Servicio]],CatPEP!A:A,CatPEP!C:C,"")</f>
        <v/>
      </c>
      <c r="G746" t="str">
        <f>_xlfn.XLOOKUP(Table1[[#This Row],[PEP]],CatPEP!C:C,CatPEP!D:D,"")</f>
        <v/>
      </c>
      <c r="O746" s="53">
        <f>SUMIF('Registro Refacciones'!B:B, I746, 'Registro Refacciones'!I:I)</f>
        <v>0</v>
      </c>
      <c r="P746" s="26">
        <f>Table1[[#This Row],[Costo Servicio]]+Table1[[#This Row],[Refacciones]]</f>
        <v>0</v>
      </c>
      <c r="Q746" s="26"/>
    </row>
    <row r="747" spans="1:17">
      <c r="A747" s="37" t="str">
        <f>IF(Table1[[#This Row],[Tipo de Servicio]]="","",Caratula!$D$15)</f>
        <v/>
      </c>
      <c r="B747" s="37" t="str">
        <f>IF(Table1[[#This Row],[Tipo de Servicio]]="","",Caratula!$D$16)</f>
        <v/>
      </c>
      <c r="C747" s="24" t="str">
        <f>IF(Table1[[#This Row],[Tipo de Servicio]]="","",Caratula!$D$17)</f>
        <v/>
      </c>
      <c r="D747" s="38" t="str">
        <f>IF(ISBLANK(Table1[[#This Row],[Tipo de Servicio]]),"",Caratula!$D$16)</f>
        <v/>
      </c>
      <c r="F747" t="str">
        <f>_xlfn.XLOOKUP(Table1[[#This Row],[SelGZ]]&amp;Table1[[#This Row],[Tipo de Servicio]],CatPEP!A:A,CatPEP!C:C,"")</f>
        <v/>
      </c>
      <c r="G747" t="str">
        <f>_xlfn.XLOOKUP(Table1[[#This Row],[PEP]],CatPEP!C:C,CatPEP!D:D,"")</f>
        <v/>
      </c>
      <c r="O747" s="53">
        <f>SUMIF('Registro Refacciones'!B:B, I747, 'Registro Refacciones'!I:I)</f>
        <v>0</v>
      </c>
      <c r="P747" s="26">
        <f>Table1[[#This Row],[Costo Servicio]]+Table1[[#This Row],[Refacciones]]</f>
        <v>0</v>
      </c>
      <c r="Q747" s="26"/>
    </row>
    <row r="748" spans="1:17">
      <c r="A748" s="37" t="str">
        <f>IF(Table1[[#This Row],[Tipo de Servicio]]="","",Caratula!$D$15)</f>
        <v/>
      </c>
      <c r="B748" s="37" t="str">
        <f>IF(Table1[[#This Row],[Tipo de Servicio]]="","",Caratula!$D$16)</f>
        <v/>
      </c>
      <c r="C748" s="24" t="str">
        <f>IF(Table1[[#This Row],[Tipo de Servicio]]="","",Caratula!$D$17)</f>
        <v/>
      </c>
      <c r="D748" s="38" t="str">
        <f>IF(ISBLANK(Table1[[#This Row],[Tipo de Servicio]]),"",Caratula!$D$16)</f>
        <v/>
      </c>
      <c r="F748" t="str">
        <f>_xlfn.XLOOKUP(Table1[[#This Row],[SelGZ]]&amp;Table1[[#This Row],[Tipo de Servicio]],CatPEP!A:A,CatPEP!C:C,"")</f>
        <v/>
      </c>
      <c r="G748" t="str">
        <f>_xlfn.XLOOKUP(Table1[[#This Row],[PEP]],CatPEP!C:C,CatPEP!D:D,"")</f>
        <v/>
      </c>
      <c r="O748" s="53">
        <f>SUMIF('Registro Refacciones'!B:B, I748, 'Registro Refacciones'!I:I)</f>
        <v>0</v>
      </c>
      <c r="P748" s="26">
        <f>Table1[[#This Row],[Costo Servicio]]+Table1[[#This Row],[Refacciones]]</f>
        <v>0</v>
      </c>
      <c r="Q748" s="26"/>
    </row>
    <row r="749" spans="1:17">
      <c r="A749" s="37" t="str">
        <f>IF(Table1[[#This Row],[Tipo de Servicio]]="","",Caratula!$D$15)</f>
        <v/>
      </c>
      <c r="B749" s="37" t="str">
        <f>IF(Table1[[#This Row],[Tipo de Servicio]]="","",Caratula!$D$16)</f>
        <v/>
      </c>
      <c r="C749" s="24" t="str">
        <f>IF(Table1[[#This Row],[Tipo de Servicio]]="","",Caratula!$D$17)</f>
        <v/>
      </c>
      <c r="D749" s="38" t="str">
        <f>IF(ISBLANK(Table1[[#This Row],[Tipo de Servicio]]),"",Caratula!$D$16)</f>
        <v/>
      </c>
      <c r="F749" t="str">
        <f>_xlfn.XLOOKUP(Table1[[#This Row],[SelGZ]]&amp;Table1[[#This Row],[Tipo de Servicio]],CatPEP!A:A,CatPEP!C:C,"")</f>
        <v/>
      </c>
      <c r="G749" t="str">
        <f>_xlfn.XLOOKUP(Table1[[#This Row],[PEP]],CatPEP!C:C,CatPEP!D:D,"")</f>
        <v/>
      </c>
      <c r="O749" s="53">
        <f>SUMIF('Registro Refacciones'!B:B, I749, 'Registro Refacciones'!I:I)</f>
        <v>0</v>
      </c>
      <c r="P749" s="26">
        <f>Table1[[#This Row],[Costo Servicio]]+Table1[[#This Row],[Refacciones]]</f>
        <v>0</v>
      </c>
      <c r="Q749" s="26"/>
    </row>
    <row r="750" spans="1:17">
      <c r="A750" s="37" t="str">
        <f>IF(Table1[[#This Row],[Tipo de Servicio]]="","",Caratula!$D$15)</f>
        <v/>
      </c>
      <c r="B750" s="37" t="str">
        <f>IF(Table1[[#This Row],[Tipo de Servicio]]="","",Caratula!$D$16)</f>
        <v/>
      </c>
      <c r="C750" s="24" t="str">
        <f>IF(Table1[[#This Row],[Tipo de Servicio]]="","",Caratula!$D$17)</f>
        <v/>
      </c>
      <c r="D750" s="38" t="str">
        <f>IF(ISBLANK(Table1[[#This Row],[Tipo de Servicio]]),"",Caratula!$D$16)</f>
        <v/>
      </c>
      <c r="F750" t="str">
        <f>_xlfn.XLOOKUP(Table1[[#This Row],[SelGZ]]&amp;Table1[[#This Row],[Tipo de Servicio]],CatPEP!A:A,CatPEP!C:C,"")</f>
        <v/>
      </c>
      <c r="G750" t="str">
        <f>_xlfn.XLOOKUP(Table1[[#This Row],[PEP]],CatPEP!C:C,CatPEP!D:D,"")</f>
        <v/>
      </c>
      <c r="O750" s="53">
        <f>SUMIF('Registro Refacciones'!B:B, I750, 'Registro Refacciones'!I:I)</f>
        <v>0</v>
      </c>
      <c r="P750" s="26">
        <f>Table1[[#This Row],[Costo Servicio]]+Table1[[#This Row],[Refacciones]]</f>
        <v>0</v>
      </c>
      <c r="Q750" s="26"/>
    </row>
    <row r="751" spans="1:17">
      <c r="A751" s="37" t="str">
        <f>IF(Table1[[#This Row],[Tipo de Servicio]]="","",Caratula!$D$15)</f>
        <v/>
      </c>
      <c r="B751" s="37" t="str">
        <f>IF(Table1[[#This Row],[Tipo de Servicio]]="","",Caratula!$D$16)</f>
        <v/>
      </c>
      <c r="C751" s="24" t="str">
        <f>IF(Table1[[#This Row],[Tipo de Servicio]]="","",Caratula!$D$17)</f>
        <v/>
      </c>
      <c r="D751" s="38" t="str">
        <f>IF(ISBLANK(Table1[[#This Row],[Tipo de Servicio]]),"",Caratula!$D$16)</f>
        <v/>
      </c>
      <c r="F751" t="str">
        <f>_xlfn.XLOOKUP(Table1[[#This Row],[SelGZ]]&amp;Table1[[#This Row],[Tipo de Servicio]],CatPEP!A:A,CatPEP!C:C,"")</f>
        <v/>
      </c>
      <c r="G751" t="str">
        <f>_xlfn.XLOOKUP(Table1[[#This Row],[PEP]],CatPEP!C:C,CatPEP!D:D,"")</f>
        <v/>
      </c>
      <c r="O751" s="53">
        <f>SUMIF('Registro Refacciones'!B:B, I751, 'Registro Refacciones'!I:I)</f>
        <v>0</v>
      </c>
      <c r="P751" s="26">
        <f>Table1[[#This Row],[Costo Servicio]]+Table1[[#This Row],[Refacciones]]</f>
        <v>0</v>
      </c>
      <c r="Q751" s="26"/>
    </row>
    <row r="752" spans="1:17">
      <c r="A752" s="37" t="str">
        <f>IF(Table1[[#This Row],[Tipo de Servicio]]="","",Caratula!$D$15)</f>
        <v/>
      </c>
      <c r="B752" s="37" t="str">
        <f>IF(Table1[[#This Row],[Tipo de Servicio]]="","",Caratula!$D$16)</f>
        <v/>
      </c>
      <c r="C752" s="24" t="str">
        <f>IF(Table1[[#This Row],[Tipo de Servicio]]="","",Caratula!$D$17)</f>
        <v/>
      </c>
      <c r="D752" s="38" t="str">
        <f>IF(ISBLANK(Table1[[#This Row],[Tipo de Servicio]]),"",Caratula!$D$16)</f>
        <v/>
      </c>
      <c r="F752" t="str">
        <f>_xlfn.XLOOKUP(Table1[[#This Row],[SelGZ]]&amp;Table1[[#This Row],[Tipo de Servicio]],CatPEP!A:A,CatPEP!C:C,"")</f>
        <v/>
      </c>
      <c r="G752" t="str">
        <f>_xlfn.XLOOKUP(Table1[[#This Row],[PEP]],CatPEP!C:C,CatPEP!D:D,"")</f>
        <v/>
      </c>
      <c r="O752" s="53">
        <f>SUMIF('Registro Refacciones'!B:B, I752, 'Registro Refacciones'!I:I)</f>
        <v>0</v>
      </c>
      <c r="P752" s="26">
        <f>Table1[[#This Row],[Costo Servicio]]+Table1[[#This Row],[Refacciones]]</f>
        <v>0</v>
      </c>
      <c r="Q752" s="26"/>
    </row>
    <row r="753" spans="1:17">
      <c r="A753" s="37" t="str">
        <f>IF(Table1[[#This Row],[Tipo de Servicio]]="","",Caratula!$D$15)</f>
        <v/>
      </c>
      <c r="B753" s="37" t="str">
        <f>IF(Table1[[#This Row],[Tipo de Servicio]]="","",Caratula!$D$16)</f>
        <v/>
      </c>
      <c r="C753" s="24" t="str">
        <f>IF(Table1[[#This Row],[Tipo de Servicio]]="","",Caratula!$D$17)</f>
        <v/>
      </c>
      <c r="D753" s="38" t="str">
        <f>IF(ISBLANK(Table1[[#This Row],[Tipo de Servicio]]),"",Caratula!$D$16)</f>
        <v/>
      </c>
      <c r="F753" t="str">
        <f>_xlfn.XLOOKUP(Table1[[#This Row],[SelGZ]]&amp;Table1[[#This Row],[Tipo de Servicio]],CatPEP!A:A,CatPEP!C:C,"")</f>
        <v/>
      </c>
      <c r="G753" t="str">
        <f>_xlfn.XLOOKUP(Table1[[#This Row],[PEP]],CatPEP!C:C,CatPEP!D:D,"")</f>
        <v/>
      </c>
      <c r="O753" s="53">
        <f>SUMIF('Registro Refacciones'!B:B, I753, 'Registro Refacciones'!I:I)</f>
        <v>0</v>
      </c>
      <c r="P753" s="26">
        <f>Table1[[#This Row],[Costo Servicio]]+Table1[[#This Row],[Refacciones]]</f>
        <v>0</v>
      </c>
      <c r="Q753" s="26"/>
    </row>
    <row r="754" spans="1:17">
      <c r="A754" s="37" t="str">
        <f>IF(Table1[[#This Row],[Tipo de Servicio]]="","",Caratula!$D$15)</f>
        <v/>
      </c>
      <c r="B754" s="37" t="str">
        <f>IF(Table1[[#This Row],[Tipo de Servicio]]="","",Caratula!$D$16)</f>
        <v/>
      </c>
      <c r="C754" s="24" t="str">
        <f>IF(Table1[[#This Row],[Tipo de Servicio]]="","",Caratula!$D$17)</f>
        <v/>
      </c>
      <c r="D754" s="38" t="str">
        <f>IF(ISBLANK(Table1[[#This Row],[Tipo de Servicio]]),"",Caratula!$D$16)</f>
        <v/>
      </c>
      <c r="F754" t="str">
        <f>_xlfn.XLOOKUP(Table1[[#This Row],[SelGZ]]&amp;Table1[[#This Row],[Tipo de Servicio]],CatPEP!A:A,CatPEP!C:C,"")</f>
        <v/>
      </c>
      <c r="G754" t="str">
        <f>_xlfn.XLOOKUP(Table1[[#This Row],[PEP]],CatPEP!C:C,CatPEP!D:D,"")</f>
        <v/>
      </c>
      <c r="O754" s="53">
        <f>SUMIF('Registro Refacciones'!B:B, I754, 'Registro Refacciones'!I:I)</f>
        <v>0</v>
      </c>
      <c r="P754" s="26">
        <f>Table1[[#This Row],[Costo Servicio]]+Table1[[#This Row],[Refacciones]]</f>
        <v>0</v>
      </c>
      <c r="Q754" s="26"/>
    </row>
    <row r="755" spans="1:17">
      <c r="A755" s="37" t="str">
        <f>IF(Table1[[#This Row],[Tipo de Servicio]]="","",Caratula!$D$15)</f>
        <v/>
      </c>
      <c r="B755" s="37" t="str">
        <f>IF(Table1[[#This Row],[Tipo de Servicio]]="","",Caratula!$D$16)</f>
        <v/>
      </c>
      <c r="C755" s="24" t="str">
        <f>IF(Table1[[#This Row],[Tipo de Servicio]]="","",Caratula!$D$17)</f>
        <v/>
      </c>
      <c r="D755" s="38" t="str">
        <f>IF(ISBLANK(Table1[[#This Row],[Tipo de Servicio]]),"",Caratula!$D$16)</f>
        <v/>
      </c>
      <c r="F755" t="str">
        <f>_xlfn.XLOOKUP(Table1[[#This Row],[SelGZ]]&amp;Table1[[#This Row],[Tipo de Servicio]],CatPEP!A:A,CatPEP!C:C,"")</f>
        <v/>
      </c>
      <c r="G755" t="str">
        <f>_xlfn.XLOOKUP(Table1[[#This Row],[PEP]],CatPEP!C:C,CatPEP!D:D,"")</f>
        <v/>
      </c>
      <c r="O755" s="53">
        <f>SUMIF('Registro Refacciones'!B:B, I755, 'Registro Refacciones'!I:I)</f>
        <v>0</v>
      </c>
      <c r="P755" s="26">
        <f>Table1[[#This Row],[Costo Servicio]]+Table1[[#This Row],[Refacciones]]</f>
        <v>0</v>
      </c>
      <c r="Q755" s="26"/>
    </row>
    <row r="756" spans="1:17">
      <c r="A756" s="37" t="str">
        <f>IF(Table1[[#This Row],[Tipo de Servicio]]="","",Caratula!$D$15)</f>
        <v/>
      </c>
      <c r="B756" s="37" t="str">
        <f>IF(Table1[[#This Row],[Tipo de Servicio]]="","",Caratula!$D$16)</f>
        <v/>
      </c>
      <c r="C756" s="24" t="str">
        <f>IF(Table1[[#This Row],[Tipo de Servicio]]="","",Caratula!$D$17)</f>
        <v/>
      </c>
      <c r="D756" s="38" t="str">
        <f>IF(ISBLANK(Table1[[#This Row],[Tipo de Servicio]]),"",Caratula!$D$16)</f>
        <v/>
      </c>
      <c r="F756" t="str">
        <f>_xlfn.XLOOKUP(Table1[[#This Row],[SelGZ]]&amp;Table1[[#This Row],[Tipo de Servicio]],CatPEP!A:A,CatPEP!C:C,"")</f>
        <v/>
      </c>
      <c r="G756" t="str">
        <f>_xlfn.XLOOKUP(Table1[[#This Row],[PEP]],CatPEP!C:C,CatPEP!D:D,"")</f>
        <v/>
      </c>
      <c r="O756" s="53">
        <f>SUMIF('Registro Refacciones'!B:B, I756, 'Registro Refacciones'!I:I)</f>
        <v>0</v>
      </c>
      <c r="P756" s="26">
        <f>Table1[[#This Row],[Costo Servicio]]+Table1[[#This Row],[Refacciones]]</f>
        <v>0</v>
      </c>
      <c r="Q756" s="26"/>
    </row>
    <row r="757" spans="1:17">
      <c r="A757" s="37" t="str">
        <f>IF(Table1[[#This Row],[Tipo de Servicio]]="","",Caratula!$D$15)</f>
        <v/>
      </c>
      <c r="B757" s="37" t="str">
        <f>IF(Table1[[#This Row],[Tipo de Servicio]]="","",Caratula!$D$16)</f>
        <v/>
      </c>
      <c r="C757" s="24" t="str">
        <f>IF(Table1[[#This Row],[Tipo de Servicio]]="","",Caratula!$D$17)</f>
        <v/>
      </c>
      <c r="D757" s="38" t="str">
        <f>IF(ISBLANK(Table1[[#This Row],[Tipo de Servicio]]),"",Caratula!$D$16)</f>
        <v/>
      </c>
      <c r="F757" t="str">
        <f>_xlfn.XLOOKUP(Table1[[#This Row],[SelGZ]]&amp;Table1[[#This Row],[Tipo de Servicio]],CatPEP!A:A,CatPEP!C:C,"")</f>
        <v/>
      </c>
      <c r="G757" t="str">
        <f>_xlfn.XLOOKUP(Table1[[#This Row],[PEP]],CatPEP!C:C,CatPEP!D:D,"")</f>
        <v/>
      </c>
      <c r="O757" s="53">
        <f>SUMIF('Registro Refacciones'!B:B, I757, 'Registro Refacciones'!I:I)</f>
        <v>0</v>
      </c>
      <c r="P757" s="26">
        <f>Table1[[#This Row],[Costo Servicio]]+Table1[[#This Row],[Refacciones]]</f>
        <v>0</v>
      </c>
      <c r="Q757" s="26"/>
    </row>
    <row r="758" spans="1:17">
      <c r="A758" s="37" t="str">
        <f>IF(Table1[[#This Row],[Tipo de Servicio]]="","",Caratula!$D$15)</f>
        <v/>
      </c>
      <c r="B758" s="37" t="str">
        <f>IF(Table1[[#This Row],[Tipo de Servicio]]="","",Caratula!$D$16)</f>
        <v/>
      </c>
      <c r="C758" s="24" t="str">
        <f>IF(Table1[[#This Row],[Tipo de Servicio]]="","",Caratula!$D$17)</f>
        <v/>
      </c>
      <c r="D758" s="38" t="str">
        <f>IF(ISBLANK(Table1[[#This Row],[Tipo de Servicio]]),"",Caratula!$D$16)</f>
        <v/>
      </c>
      <c r="F758" t="str">
        <f>_xlfn.XLOOKUP(Table1[[#This Row],[SelGZ]]&amp;Table1[[#This Row],[Tipo de Servicio]],CatPEP!A:A,CatPEP!C:C,"")</f>
        <v/>
      </c>
      <c r="G758" t="str">
        <f>_xlfn.XLOOKUP(Table1[[#This Row],[PEP]],CatPEP!C:C,CatPEP!D:D,"")</f>
        <v/>
      </c>
      <c r="O758" s="53">
        <f>SUMIF('Registro Refacciones'!B:B, I758, 'Registro Refacciones'!I:I)</f>
        <v>0</v>
      </c>
      <c r="P758" s="26">
        <f>Table1[[#This Row],[Costo Servicio]]+Table1[[#This Row],[Refacciones]]</f>
        <v>0</v>
      </c>
      <c r="Q758" s="26"/>
    </row>
    <row r="759" spans="1:17">
      <c r="A759" s="37" t="str">
        <f>IF(Table1[[#This Row],[Tipo de Servicio]]="","",Caratula!$D$15)</f>
        <v/>
      </c>
      <c r="B759" s="37" t="str">
        <f>IF(Table1[[#This Row],[Tipo de Servicio]]="","",Caratula!$D$16)</f>
        <v/>
      </c>
      <c r="C759" s="24" t="str">
        <f>IF(Table1[[#This Row],[Tipo de Servicio]]="","",Caratula!$D$17)</f>
        <v/>
      </c>
      <c r="D759" s="38" t="str">
        <f>IF(ISBLANK(Table1[[#This Row],[Tipo de Servicio]]),"",Caratula!$D$16)</f>
        <v/>
      </c>
      <c r="F759" t="str">
        <f>_xlfn.XLOOKUP(Table1[[#This Row],[SelGZ]]&amp;Table1[[#This Row],[Tipo de Servicio]],CatPEP!A:A,CatPEP!C:C,"")</f>
        <v/>
      </c>
      <c r="G759" t="str">
        <f>_xlfn.XLOOKUP(Table1[[#This Row],[PEP]],CatPEP!C:C,CatPEP!D:D,"")</f>
        <v/>
      </c>
      <c r="O759" s="53">
        <f>SUMIF('Registro Refacciones'!B:B, I759, 'Registro Refacciones'!I:I)</f>
        <v>0</v>
      </c>
      <c r="P759" s="26">
        <f>Table1[[#This Row],[Costo Servicio]]+Table1[[#This Row],[Refacciones]]</f>
        <v>0</v>
      </c>
      <c r="Q759" s="26"/>
    </row>
    <row r="760" spans="1:17">
      <c r="A760" s="37" t="str">
        <f>IF(Table1[[#This Row],[Tipo de Servicio]]="","",Caratula!$D$15)</f>
        <v/>
      </c>
      <c r="B760" s="37" t="str">
        <f>IF(Table1[[#This Row],[Tipo de Servicio]]="","",Caratula!$D$16)</f>
        <v/>
      </c>
      <c r="C760" s="24" t="str">
        <f>IF(Table1[[#This Row],[Tipo de Servicio]]="","",Caratula!$D$17)</f>
        <v/>
      </c>
      <c r="D760" s="38" t="str">
        <f>IF(ISBLANK(Table1[[#This Row],[Tipo de Servicio]]),"",Caratula!$D$16)</f>
        <v/>
      </c>
      <c r="F760" t="str">
        <f>_xlfn.XLOOKUP(Table1[[#This Row],[SelGZ]]&amp;Table1[[#This Row],[Tipo de Servicio]],CatPEP!A:A,CatPEP!C:C,"")</f>
        <v/>
      </c>
      <c r="G760" t="str">
        <f>_xlfn.XLOOKUP(Table1[[#This Row],[PEP]],CatPEP!C:C,CatPEP!D:D,"")</f>
        <v/>
      </c>
      <c r="O760" s="53">
        <f>SUMIF('Registro Refacciones'!B:B, I760, 'Registro Refacciones'!I:I)</f>
        <v>0</v>
      </c>
      <c r="P760" s="26">
        <f>Table1[[#This Row],[Costo Servicio]]+Table1[[#This Row],[Refacciones]]</f>
        <v>0</v>
      </c>
      <c r="Q760" s="26"/>
    </row>
    <row r="761" spans="1:17">
      <c r="A761" s="37" t="str">
        <f>IF(Table1[[#This Row],[Tipo de Servicio]]="","",Caratula!$D$15)</f>
        <v/>
      </c>
      <c r="B761" s="37" t="str">
        <f>IF(Table1[[#This Row],[Tipo de Servicio]]="","",Caratula!$D$16)</f>
        <v/>
      </c>
      <c r="C761" s="24" t="str">
        <f>IF(Table1[[#This Row],[Tipo de Servicio]]="","",Caratula!$D$17)</f>
        <v/>
      </c>
      <c r="D761" s="38" t="str">
        <f>IF(ISBLANK(Table1[[#This Row],[Tipo de Servicio]]),"",Caratula!$D$16)</f>
        <v/>
      </c>
      <c r="F761" t="str">
        <f>_xlfn.XLOOKUP(Table1[[#This Row],[SelGZ]]&amp;Table1[[#This Row],[Tipo de Servicio]],CatPEP!A:A,CatPEP!C:C,"")</f>
        <v/>
      </c>
      <c r="G761" t="str">
        <f>_xlfn.XLOOKUP(Table1[[#This Row],[PEP]],CatPEP!C:C,CatPEP!D:D,"")</f>
        <v/>
      </c>
      <c r="O761" s="53">
        <f>SUMIF('Registro Refacciones'!B:B, I761, 'Registro Refacciones'!I:I)</f>
        <v>0</v>
      </c>
      <c r="P761" s="26">
        <f>Table1[[#This Row],[Costo Servicio]]+Table1[[#This Row],[Refacciones]]</f>
        <v>0</v>
      </c>
      <c r="Q761" s="26"/>
    </row>
    <row r="762" spans="1:17">
      <c r="A762" s="37" t="str">
        <f>IF(Table1[[#This Row],[Tipo de Servicio]]="","",Caratula!$D$15)</f>
        <v/>
      </c>
      <c r="B762" s="37" t="str">
        <f>IF(Table1[[#This Row],[Tipo de Servicio]]="","",Caratula!$D$16)</f>
        <v/>
      </c>
      <c r="C762" s="24" t="str">
        <f>IF(Table1[[#This Row],[Tipo de Servicio]]="","",Caratula!$D$17)</f>
        <v/>
      </c>
      <c r="D762" s="38" t="str">
        <f>IF(ISBLANK(Table1[[#This Row],[Tipo de Servicio]]),"",Caratula!$D$16)</f>
        <v/>
      </c>
      <c r="F762" t="str">
        <f>_xlfn.XLOOKUP(Table1[[#This Row],[SelGZ]]&amp;Table1[[#This Row],[Tipo de Servicio]],CatPEP!A:A,CatPEP!C:C,"")</f>
        <v/>
      </c>
      <c r="G762" t="str">
        <f>_xlfn.XLOOKUP(Table1[[#This Row],[PEP]],CatPEP!C:C,CatPEP!D:D,"")</f>
        <v/>
      </c>
      <c r="O762" s="53">
        <f>SUMIF('Registro Refacciones'!B:B, I762, 'Registro Refacciones'!I:I)</f>
        <v>0</v>
      </c>
      <c r="P762" s="26">
        <f>Table1[[#This Row],[Costo Servicio]]+Table1[[#This Row],[Refacciones]]</f>
        <v>0</v>
      </c>
      <c r="Q762" s="26"/>
    </row>
    <row r="763" spans="1:17">
      <c r="A763" s="37" t="str">
        <f>IF(Table1[[#This Row],[Tipo de Servicio]]="","",Caratula!$D$15)</f>
        <v/>
      </c>
      <c r="B763" s="37" t="str">
        <f>IF(Table1[[#This Row],[Tipo de Servicio]]="","",Caratula!$D$16)</f>
        <v/>
      </c>
      <c r="C763" s="24" t="str">
        <f>IF(Table1[[#This Row],[Tipo de Servicio]]="","",Caratula!$D$17)</f>
        <v/>
      </c>
      <c r="D763" s="38" t="str">
        <f>IF(ISBLANK(Table1[[#This Row],[Tipo de Servicio]]),"",Caratula!$D$16)</f>
        <v/>
      </c>
      <c r="F763" t="str">
        <f>_xlfn.XLOOKUP(Table1[[#This Row],[SelGZ]]&amp;Table1[[#This Row],[Tipo de Servicio]],CatPEP!A:A,CatPEP!C:C,"")</f>
        <v/>
      </c>
      <c r="G763" t="str">
        <f>_xlfn.XLOOKUP(Table1[[#This Row],[PEP]],CatPEP!C:C,CatPEP!D:D,"")</f>
        <v/>
      </c>
      <c r="O763" s="53">
        <f>SUMIF('Registro Refacciones'!B:B, I763, 'Registro Refacciones'!I:I)</f>
        <v>0</v>
      </c>
      <c r="P763" s="26">
        <f>Table1[[#This Row],[Costo Servicio]]+Table1[[#This Row],[Refacciones]]</f>
        <v>0</v>
      </c>
      <c r="Q763" s="26"/>
    </row>
    <row r="764" spans="1:17">
      <c r="A764" s="37" t="str">
        <f>IF(Table1[[#This Row],[Tipo de Servicio]]="","",Caratula!$D$15)</f>
        <v/>
      </c>
      <c r="B764" s="37" t="str">
        <f>IF(Table1[[#This Row],[Tipo de Servicio]]="","",Caratula!$D$16)</f>
        <v/>
      </c>
      <c r="C764" s="24" t="str">
        <f>IF(Table1[[#This Row],[Tipo de Servicio]]="","",Caratula!$D$17)</f>
        <v/>
      </c>
      <c r="D764" s="38" t="str">
        <f>IF(ISBLANK(Table1[[#This Row],[Tipo de Servicio]]),"",Caratula!$D$16)</f>
        <v/>
      </c>
      <c r="F764" t="str">
        <f>_xlfn.XLOOKUP(Table1[[#This Row],[SelGZ]]&amp;Table1[[#This Row],[Tipo de Servicio]],CatPEP!A:A,CatPEP!C:C,"")</f>
        <v/>
      </c>
      <c r="G764" t="str">
        <f>_xlfn.XLOOKUP(Table1[[#This Row],[PEP]],CatPEP!C:C,CatPEP!D:D,"")</f>
        <v/>
      </c>
      <c r="O764" s="53">
        <f>SUMIF('Registro Refacciones'!B:B, I764, 'Registro Refacciones'!I:I)</f>
        <v>0</v>
      </c>
      <c r="P764" s="26">
        <f>Table1[[#This Row],[Costo Servicio]]+Table1[[#This Row],[Refacciones]]</f>
        <v>0</v>
      </c>
      <c r="Q764" s="26"/>
    </row>
    <row r="765" spans="1:17">
      <c r="A765" s="37" t="str">
        <f>IF(Table1[[#This Row],[Tipo de Servicio]]="","",Caratula!$D$15)</f>
        <v/>
      </c>
      <c r="B765" s="37" t="str">
        <f>IF(Table1[[#This Row],[Tipo de Servicio]]="","",Caratula!$D$16)</f>
        <v/>
      </c>
      <c r="C765" s="24" t="str">
        <f>IF(Table1[[#This Row],[Tipo de Servicio]]="","",Caratula!$D$17)</f>
        <v/>
      </c>
      <c r="D765" s="38" t="str">
        <f>IF(ISBLANK(Table1[[#This Row],[Tipo de Servicio]]),"",Caratula!$D$16)</f>
        <v/>
      </c>
      <c r="F765" t="str">
        <f>_xlfn.XLOOKUP(Table1[[#This Row],[SelGZ]]&amp;Table1[[#This Row],[Tipo de Servicio]],CatPEP!A:A,CatPEP!C:C,"")</f>
        <v/>
      </c>
      <c r="G765" t="str">
        <f>_xlfn.XLOOKUP(Table1[[#This Row],[PEP]],CatPEP!C:C,CatPEP!D:D,"")</f>
        <v/>
      </c>
      <c r="O765" s="53">
        <f>SUMIF('Registro Refacciones'!B:B, I765, 'Registro Refacciones'!I:I)</f>
        <v>0</v>
      </c>
      <c r="P765" s="26">
        <f>Table1[[#This Row],[Costo Servicio]]+Table1[[#This Row],[Refacciones]]</f>
        <v>0</v>
      </c>
      <c r="Q765" s="26"/>
    </row>
    <row r="766" spans="1:17">
      <c r="A766" s="37" t="str">
        <f>IF(Table1[[#This Row],[Tipo de Servicio]]="","",Caratula!$D$15)</f>
        <v/>
      </c>
      <c r="B766" s="37" t="str">
        <f>IF(Table1[[#This Row],[Tipo de Servicio]]="","",Caratula!$D$16)</f>
        <v/>
      </c>
      <c r="C766" s="24" t="str">
        <f>IF(Table1[[#This Row],[Tipo de Servicio]]="","",Caratula!$D$17)</f>
        <v/>
      </c>
      <c r="D766" s="38" t="str">
        <f>IF(ISBLANK(Table1[[#This Row],[Tipo de Servicio]]),"",Caratula!$D$16)</f>
        <v/>
      </c>
      <c r="F766" t="str">
        <f>_xlfn.XLOOKUP(Table1[[#This Row],[SelGZ]]&amp;Table1[[#This Row],[Tipo de Servicio]],CatPEP!A:A,CatPEP!C:C,"")</f>
        <v/>
      </c>
      <c r="G766" t="str">
        <f>_xlfn.XLOOKUP(Table1[[#This Row],[PEP]],CatPEP!C:C,CatPEP!D:D,"")</f>
        <v/>
      </c>
      <c r="O766" s="53">
        <f>SUMIF('Registro Refacciones'!B:B, I766, 'Registro Refacciones'!I:I)</f>
        <v>0</v>
      </c>
      <c r="P766" s="26">
        <f>Table1[[#This Row],[Costo Servicio]]+Table1[[#This Row],[Refacciones]]</f>
        <v>0</v>
      </c>
      <c r="Q766" s="26"/>
    </row>
    <row r="767" spans="1:17">
      <c r="A767" s="37" t="str">
        <f>IF(Table1[[#This Row],[Tipo de Servicio]]="","",Caratula!$D$15)</f>
        <v/>
      </c>
      <c r="B767" s="37" t="str">
        <f>IF(Table1[[#This Row],[Tipo de Servicio]]="","",Caratula!$D$16)</f>
        <v/>
      </c>
      <c r="C767" s="24" t="str">
        <f>IF(Table1[[#This Row],[Tipo de Servicio]]="","",Caratula!$D$17)</f>
        <v/>
      </c>
      <c r="D767" s="38" t="str">
        <f>IF(ISBLANK(Table1[[#This Row],[Tipo de Servicio]]),"",Caratula!$D$16)</f>
        <v/>
      </c>
      <c r="F767" t="str">
        <f>_xlfn.XLOOKUP(Table1[[#This Row],[SelGZ]]&amp;Table1[[#This Row],[Tipo de Servicio]],CatPEP!A:A,CatPEP!C:C,"")</f>
        <v/>
      </c>
      <c r="G767" t="str">
        <f>_xlfn.XLOOKUP(Table1[[#This Row],[PEP]],CatPEP!C:C,CatPEP!D:D,"")</f>
        <v/>
      </c>
      <c r="O767" s="53">
        <f>SUMIF('Registro Refacciones'!B:B, I767, 'Registro Refacciones'!I:I)</f>
        <v>0</v>
      </c>
      <c r="P767" s="26">
        <f>Table1[[#This Row],[Costo Servicio]]+Table1[[#This Row],[Refacciones]]</f>
        <v>0</v>
      </c>
      <c r="Q767" s="26"/>
    </row>
    <row r="768" spans="1:17">
      <c r="A768" s="37" t="str">
        <f>IF(Table1[[#This Row],[Tipo de Servicio]]="","",Caratula!$D$15)</f>
        <v/>
      </c>
      <c r="B768" s="37" t="str">
        <f>IF(Table1[[#This Row],[Tipo de Servicio]]="","",Caratula!$D$16)</f>
        <v/>
      </c>
      <c r="C768" s="24" t="str">
        <f>IF(Table1[[#This Row],[Tipo de Servicio]]="","",Caratula!$D$17)</f>
        <v/>
      </c>
      <c r="D768" s="38" t="str">
        <f>IF(ISBLANK(Table1[[#This Row],[Tipo de Servicio]]),"",Caratula!$D$16)</f>
        <v/>
      </c>
      <c r="F768" t="str">
        <f>_xlfn.XLOOKUP(Table1[[#This Row],[SelGZ]]&amp;Table1[[#This Row],[Tipo de Servicio]],CatPEP!A:A,CatPEP!C:C,"")</f>
        <v/>
      </c>
      <c r="G768" t="str">
        <f>_xlfn.XLOOKUP(Table1[[#This Row],[PEP]],CatPEP!C:C,CatPEP!D:D,"")</f>
        <v/>
      </c>
      <c r="O768" s="53">
        <f>SUMIF('Registro Refacciones'!B:B, I768, 'Registro Refacciones'!I:I)</f>
        <v>0</v>
      </c>
      <c r="P768" s="26">
        <f>Table1[[#This Row],[Costo Servicio]]+Table1[[#This Row],[Refacciones]]</f>
        <v>0</v>
      </c>
      <c r="Q768" s="26"/>
    </row>
    <row r="769" spans="1:17">
      <c r="A769" s="37" t="str">
        <f>IF(Table1[[#This Row],[Tipo de Servicio]]="","",Caratula!$D$15)</f>
        <v/>
      </c>
      <c r="B769" s="37" t="str">
        <f>IF(Table1[[#This Row],[Tipo de Servicio]]="","",Caratula!$D$16)</f>
        <v/>
      </c>
      <c r="C769" s="24" t="str">
        <f>IF(Table1[[#This Row],[Tipo de Servicio]]="","",Caratula!$D$17)</f>
        <v/>
      </c>
      <c r="D769" s="38" t="str">
        <f>IF(ISBLANK(Table1[[#This Row],[Tipo de Servicio]]),"",Caratula!$D$16)</f>
        <v/>
      </c>
      <c r="F769" t="str">
        <f>_xlfn.XLOOKUP(Table1[[#This Row],[SelGZ]]&amp;Table1[[#This Row],[Tipo de Servicio]],CatPEP!A:A,CatPEP!C:C,"")</f>
        <v/>
      </c>
      <c r="G769" t="str">
        <f>_xlfn.XLOOKUP(Table1[[#This Row],[PEP]],CatPEP!C:C,CatPEP!D:D,"")</f>
        <v/>
      </c>
      <c r="O769" s="53">
        <f>SUMIF('Registro Refacciones'!B:B, I769, 'Registro Refacciones'!I:I)</f>
        <v>0</v>
      </c>
      <c r="P769" s="26">
        <f>Table1[[#This Row],[Costo Servicio]]+Table1[[#This Row],[Refacciones]]</f>
        <v>0</v>
      </c>
      <c r="Q769" s="26"/>
    </row>
    <row r="770" spans="1:17">
      <c r="A770" s="37" t="str">
        <f>IF(Table1[[#This Row],[Tipo de Servicio]]="","",Caratula!$D$15)</f>
        <v/>
      </c>
      <c r="B770" s="37" t="str">
        <f>IF(Table1[[#This Row],[Tipo de Servicio]]="","",Caratula!$D$16)</f>
        <v/>
      </c>
      <c r="C770" s="24" t="str">
        <f>IF(Table1[[#This Row],[Tipo de Servicio]]="","",Caratula!$D$17)</f>
        <v/>
      </c>
      <c r="D770" s="38" t="str">
        <f>IF(ISBLANK(Table1[[#This Row],[Tipo de Servicio]]),"",Caratula!$D$16)</f>
        <v/>
      </c>
      <c r="F770" t="str">
        <f>_xlfn.XLOOKUP(Table1[[#This Row],[SelGZ]]&amp;Table1[[#This Row],[Tipo de Servicio]],CatPEP!A:A,CatPEP!C:C,"")</f>
        <v/>
      </c>
      <c r="G770" t="str">
        <f>_xlfn.XLOOKUP(Table1[[#This Row],[PEP]],CatPEP!C:C,CatPEP!D:D,"")</f>
        <v/>
      </c>
      <c r="O770" s="53">
        <f>SUMIF('Registro Refacciones'!B:B, I770, 'Registro Refacciones'!I:I)</f>
        <v>0</v>
      </c>
      <c r="P770" s="26">
        <f>Table1[[#This Row],[Costo Servicio]]+Table1[[#This Row],[Refacciones]]</f>
        <v>0</v>
      </c>
      <c r="Q770" s="26"/>
    </row>
    <row r="771" spans="1:17">
      <c r="A771" s="37" t="str">
        <f>IF(Table1[[#This Row],[Tipo de Servicio]]="","",Caratula!$D$15)</f>
        <v/>
      </c>
      <c r="B771" s="37" t="str">
        <f>IF(Table1[[#This Row],[Tipo de Servicio]]="","",Caratula!$D$16)</f>
        <v/>
      </c>
      <c r="C771" s="24" t="str">
        <f>IF(Table1[[#This Row],[Tipo de Servicio]]="","",Caratula!$D$17)</f>
        <v/>
      </c>
      <c r="D771" s="38" t="str">
        <f>IF(ISBLANK(Table1[[#This Row],[Tipo de Servicio]]),"",Caratula!$D$16)</f>
        <v/>
      </c>
      <c r="F771" t="str">
        <f>_xlfn.XLOOKUP(Table1[[#This Row],[SelGZ]]&amp;Table1[[#This Row],[Tipo de Servicio]],CatPEP!A:A,CatPEP!C:C,"")</f>
        <v/>
      </c>
      <c r="G771" t="str">
        <f>_xlfn.XLOOKUP(Table1[[#This Row],[PEP]],CatPEP!C:C,CatPEP!D:D,"")</f>
        <v/>
      </c>
      <c r="O771" s="53">
        <f>SUMIF('Registro Refacciones'!B:B, I771, 'Registro Refacciones'!I:I)</f>
        <v>0</v>
      </c>
      <c r="P771" s="26">
        <f>Table1[[#This Row],[Costo Servicio]]+Table1[[#This Row],[Refacciones]]</f>
        <v>0</v>
      </c>
      <c r="Q771" s="26"/>
    </row>
    <row r="772" spans="1:17">
      <c r="A772" s="37" t="str">
        <f>IF(Table1[[#This Row],[Tipo de Servicio]]="","",Caratula!$D$15)</f>
        <v/>
      </c>
      <c r="B772" s="37" t="str">
        <f>IF(Table1[[#This Row],[Tipo de Servicio]]="","",Caratula!$D$16)</f>
        <v/>
      </c>
      <c r="C772" s="24" t="str">
        <f>IF(Table1[[#This Row],[Tipo de Servicio]]="","",Caratula!$D$17)</f>
        <v/>
      </c>
      <c r="D772" s="38" t="str">
        <f>IF(ISBLANK(Table1[[#This Row],[Tipo de Servicio]]),"",Caratula!$D$16)</f>
        <v/>
      </c>
      <c r="F772" t="str">
        <f>_xlfn.XLOOKUP(Table1[[#This Row],[SelGZ]]&amp;Table1[[#This Row],[Tipo de Servicio]],CatPEP!A:A,CatPEP!C:C,"")</f>
        <v/>
      </c>
      <c r="G772" t="str">
        <f>_xlfn.XLOOKUP(Table1[[#This Row],[PEP]],CatPEP!C:C,CatPEP!D:D,"")</f>
        <v/>
      </c>
      <c r="O772" s="53">
        <f>SUMIF('Registro Refacciones'!B:B, I772, 'Registro Refacciones'!I:I)</f>
        <v>0</v>
      </c>
      <c r="P772" s="26">
        <f>Table1[[#This Row],[Costo Servicio]]+Table1[[#This Row],[Refacciones]]</f>
        <v>0</v>
      </c>
      <c r="Q772" s="26"/>
    </row>
    <row r="773" spans="1:17">
      <c r="A773" s="37" t="str">
        <f>IF(Table1[[#This Row],[Tipo de Servicio]]="","",Caratula!$D$15)</f>
        <v/>
      </c>
      <c r="B773" s="37" t="str">
        <f>IF(Table1[[#This Row],[Tipo de Servicio]]="","",Caratula!$D$16)</f>
        <v/>
      </c>
      <c r="C773" s="24" t="str">
        <f>IF(Table1[[#This Row],[Tipo de Servicio]]="","",Caratula!$D$17)</f>
        <v/>
      </c>
      <c r="D773" s="38" t="str">
        <f>IF(ISBLANK(Table1[[#This Row],[Tipo de Servicio]]),"",Caratula!$D$16)</f>
        <v/>
      </c>
      <c r="F773" t="str">
        <f>_xlfn.XLOOKUP(Table1[[#This Row],[SelGZ]]&amp;Table1[[#This Row],[Tipo de Servicio]],CatPEP!A:A,CatPEP!C:C,"")</f>
        <v/>
      </c>
      <c r="G773" t="str">
        <f>_xlfn.XLOOKUP(Table1[[#This Row],[PEP]],CatPEP!C:C,CatPEP!D:D,"")</f>
        <v/>
      </c>
      <c r="O773" s="53">
        <f>SUMIF('Registro Refacciones'!B:B, I773, 'Registro Refacciones'!I:I)</f>
        <v>0</v>
      </c>
      <c r="P773" s="26">
        <f>Table1[[#This Row],[Costo Servicio]]+Table1[[#This Row],[Refacciones]]</f>
        <v>0</v>
      </c>
      <c r="Q773" s="26"/>
    </row>
    <row r="774" spans="1:17">
      <c r="A774" s="37" t="str">
        <f>IF(Table1[[#This Row],[Tipo de Servicio]]="","",Caratula!$D$15)</f>
        <v/>
      </c>
      <c r="B774" s="37" t="str">
        <f>IF(Table1[[#This Row],[Tipo de Servicio]]="","",Caratula!$D$16)</f>
        <v/>
      </c>
      <c r="C774" s="24" t="str">
        <f>IF(Table1[[#This Row],[Tipo de Servicio]]="","",Caratula!$D$17)</f>
        <v/>
      </c>
      <c r="D774" s="38" t="str">
        <f>IF(ISBLANK(Table1[[#This Row],[Tipo de Servicio]]),"",Caratula!$D$16)</f>
        <v/>
      </c>
      <c r="F774" t="str">
        <f>_xlfn.XLOOKUP(Table1[[#This Row],[SelGZ]]&amp;Table1[[#This Row],[Tipo de Servicio]],CatPEP!A:A,CatPEP!C:C,"")</f>
        <v/>
      </c>
      <c r="G774" t="str">
        <f>_xlfn.XLOOKUP(Table1[[#This Row],[PEP]],CatPEP!C:C,CatPEP!D:D,"")</f>
        <v/>
      </c>
      <c r="O774" s="53">
        <f>SUMIF('Registro Refacciones'!B:B, I774, 'Registro Refacciones'!I:I)</f>
        <v>0</v>
      </c>
      <c r="P774" s="26">
        <f>Table1[[#This Row],[Costo Servicio]]+Table1[[#This Row],[Refacciones]]</f>
        <v>0</v>
      </c>
      <c r="Q774" s="26"/>
    </row>
    <row r="775" spans="1:17">
      <c r="A775" s="37" t="str">
        <f>IF(Table1[[#This Row],[Tipo de Servicio]]="","",Caratula!$D$15)</f>
        <v/>
      </c>
      <c r="B775" s="37" t="str">
        <f>IF(Table1[[#This Row],[Tipo de Servicio]]="","",Caratula!$D$16)</f>
        <v/>
      </c>
      <c r="C775" s="24" t="str">
        <f>IF(Table1[[#This Row],[Tipo de Servicio]]="","",Caratula!$D$17)</f>
        <v/>
      </c>
      <c r="D775" s="38" t="str">
        <f>IF(ISBLANK(Table1[[#This Row],[Tipo de Servicio]]),"",Caratula!$D$16)</f>
        <v/>
      </c>
      <c r="F775" t="str">
        <f>_xlfn.XLOOKUP(Table1[[#This Row],[SelGZ]]&amp;Table1[[#This Row],[Tipo de Servicio]],CatPEP!A:A,CatPEP!C:C,"")</f>
        <v/>
      </c>
      <c r="G775" t="str">
        <f>_xlfn.XLOOKUP(Table1[[#This Row],[PEP]],CatPEP!C:C,CatPEP!D:D,"")</f>
        <v/>
      </c>
      <c r="O775" s="53">
        <f>SUMIF('Registro Refacciones'!B:B, I775, 'Registro Refacciones'!I:I)</f>
        <v>0</v>
      </c>
      <c r="P775" s="26">
        <f>Table1[[#This Row],[Costo Servicio]]+Table1[[#This Row],[Refacciones]]</f>
        <v>0</v>
      </c>
      <c r="Q775" s="26"/>
    </row>
    <row r="776" spans="1:17">
      <c r="A776" s="37" t="str">
        <f>IF(Table1[[#This Row],[Tipo de Servicio]]="","",Caratula!$D$15)</f>
        <v/>
      </c>
      <c r="B776" s="37" t="str">
        <f>IF(Table1[[#This Row],[Tipo de Servicio]]="","",Caratula!$D$16)</f>
        <v/>
      </c>
      <c r="C776" s="24" t="str">
        <f>IF(Table1[[#This Row],[Tipo de Servicio]]="","",Caratula!$D$17)</f>
        <v/>
      </c>
      <c r="D776" s="38" t="str">
        <f>IF(ISBLANK(Table1[[#This Row],[Tipo de Servicio]]),"",Caratula!$D$16)</f>
        <v/>
      </c>
      <c r="F776" t="str">
        <f>_xlfn.XLOOKUP(Table1[[#This Row],[SelGZ]]&amp;Table1[[#This Row],[Tipo de Servicio]],CatPEP!A:A,CatPEP!C:C,"")</f>
        <v/>
      </c>
      <c r="G776" t="str">
        <f>_xlfn.XLOOKUP(Table1[[#This Row],[PEP]],CatPEP!C:C,CatPEP!D:D,"")</f>
        <v/>
      </c>
      <c r="O776" s="53">
        <f>SUMIF('Registro Refacciones'!B:B, I776, 'Registro Refacciones'!I:I)</f>
        <v>0</v>
      </c>
      <c r="P776" s="26">
        <f>Table1[[#This Row],[Costo Servicio]]+Table1[[#This Row],[Refacciones]]</f>
        <v>0</v>
      </c>
      <c r="Q776" s="26"/>
    </row>
    <row r="777" spans="1:17">
      <c r="A777" s="37" t="str">
        <f>IF(Table1[[#This Row],[Tipo de Servicio]]="","",Caratula!$D$15)</f>
        <v/>
      </c>
      <c r="B777" s="37" t="str">
        <f>IF(Table1[[#This Row],[Tipo de Servicio]]="","",Caratula!$D$16)</f>
        <v/>
      </c>
      <c r="C777" s="24" t="str">
        <f>IF(Table1[[#This Row],[Tipo de Servicio]]="","",Caratula!$D$17)</f>
        <v/>
      </c>
      <c r="D777" s="38" t="str">
        <f>IF(ISBLANK(Table1[[#This Row],[Tipo de Servicio]]),"",Caratula!$D$16)</f>
        <v/>
      </c>
      <c r="F777" t="str">
        <f>_xlfn.XLOOKUP(Table1[[#This Row],[SelGZ]]&amp;Table1[[#This Row],[Tipo de Servicio]],CatPEP!A:A,CatPEP!C:C,"")</f>
        <v/>
      </c>
      <c r="G777" t="str">
        <f>_xlfn.XLOOKUP(Table1[[#This Row],[PEP]],CatPEP!C:C,CatPEP!D:D,"")</f>
        <v/>
      </c>
      <c r="O777" s="53">
        <f>SUMIF('Registro Refacciones'!B:B, I777, 'Registro Refacciones'!I:I)</f>
        <v>0</v>
      </c>
      <c r="P777" s="26">
        <f>Table1[[#This Row],[Costo Servicio]]+Table1[[#This Row],[Refacciones]]</f>
        <v>0</v>
      </c>
      <c r="Q777" s="26"/>
    </row>
    <row r="778" spans="1:17">
      <c r="A778" s="37" t="str">
        <f>IF(Table1[[#This Row],[Tipo de Servicio]]="","",Caratula!$D$15)</f>
        <v/>
      </c>
      <c r="B778" s="37" t="str">
        <f>IF(Table1[[#This Row],[Tipo de Servicio]]="","",Caratula!$D$16)</f>
        <v/>
      </c>
      <c r="C778" s="24" t="str">
        <f>IF(Table1[[#This Row],[Tipo de Servicio]]="","",Caratula!$D$17)</f>
        <v/>
      </c>
      <c r="D778" s="38" t="str">
        <f>IF(ISBLANK(Table1[[#This Row],[Tipo de Servicio]]),"",Caratula!$D$16)</f>
        <v/>
      </c>
      <c r="F778" t="str">
        <f>_xlfn.XLOOKUP(Table1[[#This Row],[SelGZ]]&amp;Table1[[#This Row],[Tipo de Servicio]],CatPEP!A:A,CatPEP!C:C,"")</f>
        <v/>
      </c>
      <c r="G778" t="str">
        <f>_xlfn.XLOOKUP(Table1[[#This Row],[PEP]],CatPEP!C:C,CatPEP!D:D,"")</f>
        <v/>
      </c>
      <c r="O778" s="53">
        <f>SUMIF('Registro Refacciones'!B:B, I778, 'Registro Refacciones'!I:I)</f>
        <v>0</v>
      </c>
      <c r="P778" s="26">
        <f>Table1[[#This Row],[Costo Servicio]]+Table1[[#This Row],[Refacciones]]</f>
        <v>0</v>
      </c>
      <c r="Q778" s="26"/>
    </row>
    <row r="779" spans="1:17">
      <c r="A779" s="37" t="str">
        <f>IF(Table1[[#This Row],[Tipo de Servicio]]="","",Caratula!$D$15)</f>
        <v/>
      </c>
      <c r="B779" s="37" t="str">
        <f>IF(Table1[[#This Row],[Tipo de Servicio]]="","",Caratula!$D$16)</f>
        <v/>
      </c>
      <c r="C779" s="24" t="str">
        <f>IF(Table1[[#This Row],[Tipo de Servicio]]="","",Caratula!$D$17)</f>
        <v/>
      </c>
      <c r="D779" s="38" t="str">
        <f>IF(ISBLANK(Table1[[#This Row],[Tipo de Servicio]]),"",Caratula!$D$16)</f>
        <v/>
      </c>
      <c r="F779" t="str">
        <f>_xlfn.XLOOKUP(Table1[[#This Row],[SelGZ]]&amp;Table1[[#This Row],[Tipo de Servicio]],CatPEP!A:A,CatPEP!C:C,"")</f>
        <v/>
      </c>
      <c r="G779" t="str">
        <f>_xlfn.XLOOKUP(Table1[[#This Row],[PEP]],CatPEP!C:C,CatPEP!D:D,"")</f>
        <v/>
      </c>
      <c r="O779" s="53">
        <f>SUMIF('Registro Refacciones'!B:B, I779, 'Registro Refacciones'!I:I)</f>
        <v>0</v>
      </c>
      <c r="P779" s="26">
        <f>Table1[[#This Row],[Costo Servicio]]+Table1[[#This Row],[Refacciones]]</f>
        <v>0</v>
      </c>
      <c r="Q779" s="26"/>
    </row>
    <row r="780" spans="1:17">
      <c r="A780" s="37" t="str">
        <f>IF(Table1[[#This Row],[Tipo de Servicio]]="","",Caratula!$D$15)</f>
        <v/>
      </c>
      <c r="B780" s="37" t="str">
        <f>IF(Table1[[#This Row],[Tipo de Servicio]]="","",Caratula!$D$16)</f>
        <v/>
      </c>
      <c r="C780" s="24" t="str">
        <f>IF(Table1[[#This Row],[Tipo de Servicio]]="","",Caratula!$D$17)</f>
        <v/>
      </c>
      <c r="D780" s="38" t="str">
        <f>IF(ISBLANK(Table1[[#This Row],[Tipo de Servicio]]),"",Caratula!$D$16)</f>
        <v/>
      </c>
      <c r="F780" t="str">
        <f>_xlfn.XLOOKUP(Table1[[#This Row],[SelGZ]]&amp;Table1[[#This Row],[Tipo de Servicio]],CatPEP!A:A,CatPEP!C:C,"")</f>
        <v/>
      </c>
      <c r="G780" t="str">
        <f>_xlfn.XLOOKUP(Table1[[#This Row],[PEP]],CatPEP!C:C,CatPEP!D:D,"")</f>
        <v/>
      </c>
      <c r="O780" s="53">
        <f>SUMIF('Registro Refacciones'!B:B, I780, 'Registro Refacciones'!I:I)</f>
        <v>0</v>
      </c>
      <c r="P780" s="26">
        <f>Table1[[#This Row],[Costo Servicio]]+Table1[[#This Row],[Refacciones]]</f>
        <v>0</v>
      </c>
      <c r="Q780" s="26"/>
    </row>
    <row r="781" spans="1:17">
      <c r="A781" s="37" t="str">
        <f>IF(Table1[[#This Row],[Tipo de Servicio]]="","",Caratula!$D$15)</f>
        <v/>
      </c>
      <c r="B781" s="37" t="str">
        <f>IF(Table1[[#This Row],[Tipo de Servicio]]="","",Caratula!$D$16)</f>
        <v/>
      </c>
      <c r="C781" s="24" t="str">
        <f>IF(Table1[[#This Row],[Tipo de Servicio]]="","",Caratula!$D$17)</f>
        <v/>
      </c>
      <c r="D781" s="38" t="str">
        <f>IF(ISBLANK(Table1[[#This Row],[Tipo de Servicio]]),"",Caratula!$D$16)</f>
        <v/>
      </c>
      <c r="F781" t="str">
        <f>_xlfn.XLOOKUP(Table1[[#This Row],[SelGZ]]&amp;Table1[[#This Row],[Tipo de Servicio]],CatPEP!A:A,CatPEP!C:C,"")</f>
        <v/>
      </c>
      <c r="G781" t="str">
        <f>_xlfn.XLOOKUP(Table1[[#This Row],[PEP]],CatPEP!C:C,CatPEP!D:D,"")</f>
        <v/>
      </c>
      <c r="O781" s="53">
        <f>SUMIF('Registro Refacciones'!B:B, I781, 'Registro Refacciones'!I:I)</f>
        <v>0</v>
      </c>
      <c r="P781" s="26">
        <f>Table1[[#This Row],[Costo Servicio]]+Table1[[#This Row],[Refacciones]]</f>
        <v>0</v>
      </c>
      <c r="Q781" s="26"/>
    </row>
    <row r="782" spans="1:17">
      <c r="A782" s="37" t="str">
        <f>IF(Table1[[#This Row],[Tipo de Servicio]]="","",Caratula!$D$15)</f>
        <v/>
      </c>
      <c r="B782" s="37" t="str">
        <f>IF(Table1[[#This Row],[Tipo de Servicio]]="","",Caratula!$D$16)</f>
        <v/>
      </c>
      <c r="C782" s="24" t="str">
        <f>IF(Table1[[#This Row],[Tipo de Servicio]]="","",Caratula!$D$17)</f>
        <v/>
      </c>
      <c r="D782" s="38" t="str">
        <f>IF(ISBLANK(Table1[[#This Row],[Tipo de Servicio]]),"",Caratula!$D$16)</f>
        <v/>
      </c>
      <c r="F782" t="str">
        <f>_xlfn.XLOOKUP(Table1[[#This Row],[SelGZ]]&amp;Table1[[#This Row],[Tipo de Servicio]],CatPEP!A:A,CatPEP!C:C,"")</f>
        <v/>
      </c>
      <c r="G782" t="str">
        <f>_xlfn.XLOOKUP(Table1[[#This Row],[PEP]],CatPEP!C:C,CatPEP!D:D,"")</f>
        <v/>
      </c>
      <c r="O782" s="53">
        <f>SUMIF('Registro Refacciones'!B:B, I782, 'Registro Refacciones'!I:I)</f>
        <v>0</v>
      </c>
      <c r="P782" s="26">
        <f>Table1[[#This Row],[Costo Servicio]]+Table1[[#This Row],[Refacciones]]</f>
        <v>0</v>
      </c>
      <c r="Q782" s="26"/>
    </row>
    <row r="783" spans="1:17">
      <c r="A783" s="37" t="str">
        <f>IF(Table1[[#This Row],[Tipo de Servicio]]="","",Caratula!$D$15)</f>
        <v/>
      </c>
      <c r="B783" s="37" t="str">
        <f>IF(Table1[[#This Row],[Tipo de Servicio]]="","",Caratula!$D$16)</f>
        <v/>
      </c>
      <c r="C783" s="24" t="str">
        <f>IF(Table1[[#This Row],[Tipo de Servicio]]="","",Caratula!$D$17)</f>
        <v/>
      </c>
      <c r="D783" s="38" t="str">
        <f>IF(ISBLANK(Table1[[#This Row],[Tipo de Servicio]]),"",Caratula!$D$16)</f>
        <v/>
      </c>
      <c r="F783" t="str">
        <f>_xlfn.XLOOKUP(Table1[[#This Row],[SelGZ]]&amp;Table1[[#This Row],[Tipo de Servicio]],CatPEP!A:A,CatPEP!C:C,"")</f>
        <v/>
      </c>
      <c r="G783" t="str">
        <f>_xlfn.XLOOKUP(Table1[[#This Row],[PEP]],CatPEP!C:C,CatPEP!D:D,"")</f>
        <v/>
      </c>
      <c r="O783" s="53">
        <f>SUMIF('Registro Refacciones'!B:B, I783, 'Registro Refacciones'!I:I)</f>
        <v>0</v>
      </c>
      <c r="P783" s="26">
        <f>Table1[[#This Row],[Costo Servicio]]+Table1[[#This Row],[Refacciones]]</f>
        <v>0</v>
      </c>
      <c r="Q783" s="26"/>
    </row>
    <row r="784" spans="1:17">
      <c r="A784" s="37" t="str">
        <f>IF(Table1[[#This Row],[Tipo de Servicio]]="","",Caratula!$D$15)</f>
        <v/>
      </c>
      <c r="B784" s="37" t="str">
        <f>IF(Table1[[#This Row],[Tipo de Servicio]]="","",Caratula!$D$16)</f>
        <v/>
      </c>
      <c r="C784" s="24" t="str">
        <f>IF(Table1[[#This Row],[Tipo de Servicio]]="","",Caratula!$D$17)</f>
        <v/>
      </c>
      <c r="D784" s="38" t="str">
        <f>IF(ISBLANK(Table1[[#This Row],[Tipo de Servicio]]),"",Caratula!$D$16)</f>
        <v/>
      </c>
      <c r="F784" t="str">
        <f>_xlfn.XLOOKUP(Table1[[#This Row],[SelGZ]]&amp;Table1[[#This Row],[Tipo de Servicio]],CatPEP!A:A,CatPEP!C:C,"")</f>
        <v/>
      </c>
      <c r="G784" t="str">
        <f>_xlfn.XLOOKUP(Table1[[#This Row],[PEP]],CatPEP!C:C,CatPEP!D:D,"")</f>
        <v/>
      </c>
      <c r="O784" s="53">
        <f>SUMIF('Registro Refacciones'!B:B, I784, 'Registro Refacciones'!I:I)</f>
        <v>0</v>
      </c>
      <c r="P784" s="26">
        <f>Table1[[#This Row],[Costo Servicio]]+Table1[[#This Row],[Refacciones]]</f>
        <v>0</v>
      </c>
      <c r="Q784" s="26"/>
    </row>
    <row r="785" spans="1:17">
      <c r="A785" s="37" t="str">
        <f>IF(Table1[[#This Row],[Tipo de Servicio]]="","",Caratula!$D$15)</f>
        <v/>
      </c>
      <c r="B785" s="37" t="str">
        <f>IF(Table1[[#This Row],[Tipo de Servicio]]="","",Caratula!$D$16)</f>
        <v/>
      </c>
      <c r="C785" s="24" t="str">
        <f>IF(Table1[[#This Row],[Tipo de Servicio]]="","",Caratula!$D$17)</f>
        <v/>
      </c>
      <c r="D785" s="38" t="str">
        <f>IF(ISBLANK(Table1[[#This Row],[Tipo de Servicio]]),"",Caratula!$D$16)</f>
        <v/>
      </c>
      <c r="F785" t="str">
        <f>_xlfn.XLOOKUP(Table1[[#This Row],[SelGZ]]&amp;Table1[[#This Row],[Tipo de Servicio]],CatPEP!A:A,CatPEP!C:C,"")</f>
        <v/>
      </c>
      <c r="G785" t="str">
        <f>_xlfn.XLOOKUP(Table1[[#This Row],[PEP]],CatPEP!C:C,CatPEP!D:D,"")</f>
        <v/>
      </c>
      <c r="O785" s="53">
        <f>SUMIF('Registro Refacciones'!B:B, I785, 'Registro Refacciones'!I:I)</f>
        <v>0</v>
      </c>
      <c r="P785" s="26">
        <f>Table1[[#This Row],[Costo Servicio]]+Table1[[#This Row],[Refacciones]]</f>
        <v>0</v>
      </c>
      <c r="Q785" s="26"/>
    </row>
    <row r="786" spans="1:17">
      <c r="A786" s="37" t="str">
        <f>IF(Table1[[#This Row],[Tipo de Servicio]]="","",Caratula!$D$15)</f>
        <v/>
      </c>
      <c r="B786" s="37" t="str">
        <f>IF(Table1[[#This Row],[Tipo de Servicio]]="","",Caratula!$D$16)</f>
        <v/>
      </c>
      <c r="C786" s="24" t="str">
        <f>IF(Table1[[#This Row],[Tipo de Servicio]]="","",Caratula!$D$17)</f>
        <v/>
      </c>
      <c r="D786" s="38" t="str">
        <f>IF(ISBLANK(Table1[[#This Row],[Tipo de Servicio]]),"",Caratula!$D$16)</f>
        <v/>
      </c>
      <c r="F786" t="str">
        <f>_xlfn.XLOOKUP(Table1[[#This Row],[SelGZ]]&amp;Table1[[#This Row],[Tipo de Servicio]],CatPEP!A:A,CatPEP!C:C,"")</f>
        <v/>
      </c>
      <c r="G786" t="str">
        <f>_xlfn.XLOOKUP(Table1[[#This Row],[PEP]],CatPEP!C:C,CatPEP!D:D,"")</f>
        <v/>
      </c>
      <c r="O786" s="53">
        <f>SUMIF('Registro Refacciones'!B:B, I786, 'Registro Refacciones'!I:I)</f>
        <v>0</v>
      </c>
      <c r="P786" s="26">
        <f>Table1[[#This Row],[Costo Servicio]]+Table1[[#This Row],[Refacciones]]</f>
        <v>0</v>
      </c>
      <c r="Q786" s="26"/>
    </row>
    <row r="787" spans="1:17">
      <c r="A787" s="37" t="str">
        <f>IF(Table1[[#This Row],[Tipo de Servicio]]="","",Caratula!$D$15)</f>
        <v/>
      </c>
      <c r="B787" s="37" t="str">
        <f>IF(Table1[[#This Row],[Tipo de Servicio]]="","",Caratula!$D$16)</f>
        <v/>
      </c>
      <c r="C787" s="24" t="str">
        <f>IF(Table1[[#This Row],[Tipo de Servicio]]="","",Caratula!$D$17)</f>
        <v/>
      </c>
      <c r="D787" s="38" t="str">
        <f>IF(ISBLANK(Table1[[#This Row],[Tipo de Servicio]]),"",Caratula!$D$16)</f>
        <v/>
      </c>
      <c r="F787" t="str">
        <f>_xlfn.XLOOKUP(Table1[[#This Row],[SelGZ]]&amp;Table1[[#This Row],[Tipo de Servicio]],CatPEP!A:A,CatPEP!C:C,"")</f>
        <v/>
      </c>
      <c r="G787" t="str">
        <f>_xlfn.XLOOKUP(Table1[[#This Row],[PEP]],CatPEP!C:C,CatPEP!D:D,"")</f>
        <v/>
      </c>
      <c r="O787" s="53">
        <f>SUMIF('Registro Refacciones'!B:B, I787, 'Registro Refacciones'!I:I)</f>
        <v>0</v>
      </c>
      <c r="P787" s="26">
        <f>Table1[[#This Row],[Costo Servicio]]+Table1[[#This Row],[Refacciones]]</f>
        <v>0</v>
      </c>
      <c r="Q787" s="26"/>
    </row>
    <row r="788" spans="1:17">
      <c r="A788" s="37" t="str">
        <f>IF(Table1[[#This Row],[Tipo de Servicio]]="","",Caratula!$D$15)</f>
        <v/>
      </c>
      <c r="B788" s="37" t="str">
        <f>IF(Table1[[#This Row],[Tipo de Servicio]]="","",Caratula!$D$16)</f>
        <v/>
      </c>
      <c r="C788" s="24" t="str">
        <f>IF(Table1[[#This Row],[Tipo de Servicio]]="","",Caratula!$D$17)</f>
        <v/>
      </c>
      <c r="D788" s="38" t="str">
        <f>IF(ISBLANK(Table1[[#This Row],[Tipo de Servicio]]),"",Caratula!$D$16)</f>
        <v/>
      </c>
      <c r="F788" t="str">
        <f>_xlfn.XLOOKUP(Table1[[#This Row],[SelGZ]]&amp;Table1[[#This Row],[Tipo de Servicio]],CatPEP!A:A,CatPEP!C:C,"")</f>
        <v/>
      </c>
      <c r="G788" t="str">
        <f>_xlfn.XLOOKUP(Table1[[#This Row],[PEP]],CatPEP!C:C,CatPEP!D:D,"")</f>
        <v/>
      </c>
      <c r="O788" s="53">
        <f>SUMIF('Registro Refacciones'!B:B, I788, 'Registro Refacciones'!I:I)</f>
        <v>0</v>
      </c>
      <c r="P788" s="26">
        <f>Table1[[#This Row],[Costo Servicio]]+Table1[[#This Row],[Refacciones]]</f>
        <v>0</v>
      </c>
      <c r="Q788" s="26"/>
    </row>
    <row r="789" spans="1:17">
      <c r="A789" s="37" t="str">
        <f>IF(Table1[[#This Row],[Tipo de Servicio]]="","",Caratula!$D$15)</f>
        <v/>
      </c>
      <c r="B789" s="37" t="str">
        <f>IF(Table1[[#This Row],[Tipo de Servicio]]="","",Caratula!$D$16)</f>
        <v/>
      </c>
      <c r="C789" s="24" t="str">
        <f>IF(Table1[[#This Row],[Tipo de Servicio]]="","",Caratula!$D$17)</f>
        <v/>
      </c>
      <c r="D789" s="38" t="str">
        <f>IF(ISBLANK(Table1[[#This Row],[Tipo de Servicio]]),"",Caratula!$D$16)</f>
        <v/>
      </c>
      <c r="F789" t="str">
        <f>_xlfn.XLOOKUP(Table1[[#This Row],[SelGZ]]&amp;Table1[[#This Row],[Tipo de Servicio]],CatPEP!A:A,CatPEP!C:C,"")</f>
        <v/>
      </c>
      <c r="G789" t="str">
        <f>_xlfn.XLOOKUP(Table1[[#This Row],[PEP]],CatPEP!C:C,CatPEP!D:D,"")</f>
        <v/>
      </c>
      <c r="O789" s="53">
        <f>SUMIF('Registro Refacciones'!B:B, I789, 'Registro Refacciones'!I:I)</f>
        <v>0</v>
      </c>
      <c r="P789" s="26">
        <f>Table1[[#This Row],[Costo Servicio]]+Table1[[#This Row],[Refacciones]]</f>
        <v>0</v>
      </c>
      <c r="Q789" s="26"/>
    </row>
    <row r="790" spans="1:17">
      <c r="A790" s="37" t="str">
        <f>IF(Table1[[#This Row],[Tipo de Servicio]]="","",Caratula!$D$15)</f>
        <v/>
      </c>
      <c r="B790" s="37" t="str">
        <f>IF(Table1[[#This Row],[Tipo de Servicio]]="","",Caratula!$D$16)</f>
        <v/>
      </c>
      <c r="C790" s="24" t="str">
        <f>IF(Table1[[#This Row],[Tipo de Servicio]]="","",Caratula!$D$17)</f>
        <v/>
      </c>
      <c r="D790" s="38" t="str">
        <f>IF(ISBLANK(Table1[[#This Row],[Tipo de Servicio]]),"",Caratula!$D$16)</f>
        <v/>
      </c>
      <c r="F790" t="str">
        <f>_xlfn.XLOOKUP(Table1[[#This Row],[SelGZ]]&amp;Table1[[#This Row],[Tipo de Servicio]],CatPEP!A:A,CatPEP!C:C,"")</f>
        <v/>
      </c>
      <c r="G790" t="str">
        <f>_xlfn.XLOOKUP(Table1[[#This Row],[PEP]],CatPEP!C:C,CatPEP!D:D,"")</f>
        <v/>
      </c>
      <c r="O790" s="53">
        <f>SUMIF('Registro Refacciones'!B:B, I790, 'Registro Refacciones'!I:I)</f>
        <v>0</v>
      </c>
      <c r="P790" s="26">
        <f>Table1[[#This Row],[Costo Servicio]]+Table1[[#This Row],[Refacciones]]</f>
        <v>0</v>
      </c>
      <c r="Q790" s="26"/>
    </row>
    <row r="791" spans="1:17">
      <c r="A791" s="37" t="str">
        <f>IF(Table1[[#This Row],[Tipo de Servicio]]="","",Caratula!$D$15)</f>
        <v/>
      </c>
      <c r="B791" s="37" t="str">
        <f>IF(Table1[[#This Row],[Tipo de Servicio]]="","",Caratula!$D$16)</f>
        <v/>
      </c>
      <c r="C791" s="24" t="str">
        <f>IF(Table1[[#This Row],[Tipo de Servicio]]="","",Caratula!$D$17)</f>
        <v/>
      </c>
      <c r="D791" s="38" t="str">
        <f>IF(ISBLANK(Table1[[#This Row],[Tipo de Servicio]]),"",Caratula!$D$16)</f>
        <v/>
      </c>
      <c r="F791" t="str">
        <f>_xlfn.XLOOKUP(Table1[[#This Row],[SelGZ]]&amp;Table1[[#This Row],[Tipo de Servicio]],CatPEP!A:A,CatPEP!C:C,"")</f>
        <v/>
      </c>
      <c r="G791" t="str">
        <f>_xlfn.XLOOKUP(Table1[[#This Row],[PEP]],CatPEP!C:C,CatPEP!D:D,"")</f>
        <v/>
      </c>
      <c r="O791" s="53">
        <f>SUMIF('Registro Refacciones'!B:B, I791, 'Registro Refacciones'!I:I)</f>
        <v>0</v>
      </c>
      <c r="P791" s="26">
        <f>Table1[[#This Row],[Costo Servicio]]+Table1[[#This Row],[Refacciones]]</f>
        <v>0</v>
      </c>
      <c r="Q791" s="26"/>
    </row>
    <row r="792" spans="1:17">
      <c r="A792" s="37" t="str">
        <f>IF(Table1[[#This Row],[Tipo de Servicio]]="","",Caratula!$D$15)</f>
        <v/>
      </c>
      <c r="B792" s="37" t="str">
        <f>IF(Table1[[#This Row],[Tipo de Servicio]]="","",Caratula!$D$16)</f>
        <v/>
      </c>
      <c r="C792" s="24" t="str">
        <f>IF(Table1[[#This Row],[Tipo de Servicio]]="","",Caratula!$D$17)</f>
        <v/>
      </c>
      <c r="D792" s="38" t="str">
        <f>IF(ISBLANK(Table1[[#This Row],[Tipo de Servicio]]),"",Caratula!$D$16)</f>
        <v/>
      </c>
      <c r="F792" t="str">
        <f>_xlfn.XLOOKUP(Table1[[#This Row],[SelGZ]]&amp;Table1[[#This Row],[Tipo de Servicio]],CatPEP!A:A,CatPEP!C:C,"")</f>
        <v/>
      </c>
      <c r="G792" t="str">
        <f>_xlfn.XLOOKUP(Table1[[#This Row],[PEP]],CatPEP!C:C,CatPEP!D:D,"")</f>
        <v/>
      </c>
      <c r="O792" s="53">
        <f>SUMIF('Registro Refacciones'!B:B, I792, 'Registro Refacciones'!I:I)</f>
        <v>0</v>
      </c>
      <c r="P792" s="26">
        <f>Table1[[#This Row],[Costo Servicio]]+Table1[[#This Row],[Refacciones]]</f>
        <v>0</v>
      </c>
      <c r="Q792" s="26"/>
    </row>
    <row r="793" spans="1:17">
      <c r="A793" s="37" t="str">
        <f>IF(Table1[[#This Row],[Tipo de Servicio]]="","",Caratula!$D$15)</f>
        <v/>
      </c>
      <c r="B793" s="37" t="str">
        <f>IF(Table1[[#This Row],[Tipo de Servicio]]="","",Caratula!$D$16)</f>
        <v/>
      </c>
      <c r="C793" s="24" t="str">
        <f>IF(Table1[[#This Row],[Tipo de Servicio]]="","",Caratula!$D$17)</f>
        <v/>
      </c>
      <c r="D793" s="38" t="str">
        <f>IF(ISBLANK(Table1[[#This Row],[Tipo de Servicio]]),"",Caratula!$D$16)</f>
        <v/>
      </c>
      <c r="F793" t="str">
        <f>_xlfn.XLOOKUP(Table1[[#This Row],[SelGZ]]&amp;Table1[[#This Row],[Tipo de Servicio]],CatPEP!A:A,CatPEP!C:C,"")</f>
        <v/>
      </c>
      <c r="G793" t="str">
        <f>_xlfn.XLOOKUP(Table1[[#This Row],[PEP]],CatPEP!C:C,CatPEP!D:D,"")</f>
        <v/>
      </c>
      <c r="O793" s="53">
        <f>SUMIF('Registro Refacciones'!B:B, I793, 'Registro Refacciones'!I:I)</f>
        <v>0</v>
      </c>
      <c r="P793" s="26">
        <f>Table1[[#This Row],[Costo Servicio]]+Table1[[#This Row],[Refacciones]]</f>
        <v>0</v>
      </c>
      <c r="Q793" s="26"/>
    </row>
    <row r="794" spans="1:17">
      <c r="A794" s="37" t="str">
        <f>IF(Table1[[#This Row],[Tipo de Servicio]]="","",Caratula!$D$15)</f>
        <v/>
      </c>
      <c r="B794" s="37" t="str">
        <f>IF(Table1[[#This Row],[Tipo de Servicio]]="","",Caratula!$D$16)</f>
        <v/>
      </c>
      <c r="C794" s="24" t="str">
        <f>IF(Table1[[#This Row],[Tipo de Servicio]]="","",Caratula!$D$17)</f>
        <v/>
      </c>
      <c r="D794" s="38" t="str">
        <f>IF(ISBLANK(Table1[[#This Row],[Tipo de Servicio]]),"",Caratula!$D$16)</f>
        <v/>
      </c>
      <c r="F794" t="str">
        <f>_xlfn.XLOOKUP(Table1[[#This Row],[SelGZ]]&amp;Table1[[#This Row],[Tipo de Servicio]],CatPEP!A:A,CatPEP!C:C,"")</f>
        <v/>
      </c>
      <c r="G794" t="str">
        <f>_xlfn.XLOOKUP(Table1[[#This Row],[PEP]],CatPEP!C:C,CatPEP!D:D,"")</f>
        <v/>
      </c>
      <c r="O794" s="53">
        <f>SUMIF('Registro Refacciones'!B:B, I794, 'Registro Refacciones'!I:I)</f>
        <v>0</v>
      </c>
      <c r="P794" s="26">
        <f>Table1[[#This Row],[Costo Servicio]]+Table1[[#This Row],[Refacciones]]</f>
        <v>0</v>
      </c>
      <c r="Q794" s="26"/>
    </row>
    <row r="795" spans="1:17">
      <c r="A795" s="37" t="str">
        <f>IF(Table1[[#This Row],[Tipo de Servicio]]="","",Caratula!$D$15)</f>
        <v/>
      </c>
      <c r="B795" s="37" t="str">
        <f>IF(Table1[[#This Row],[Tipo de Servicio]]="","",Caratula!$D$16)</f>
        <v/>
      </c>
      <c r="C795" s="24" t="str">
        <f>IF(Table1[[#This Row],[Tipo de Servicio]]="","",Caratula!$D$17)</f>
        <v/>
      </c>
      <c r="D795" s="38" t="str">
        <f>IF(ISBLANK(Table1[[#This Row],[Tipo de Servicio]]),"",Caratula!$D$16)</f>
        <v/>
      </c>
      <c r="F795" t="str">
        <f>_xlfn.XLOOKUP(Table1[[#This Row],[SelGZ]]&amp;Table1[[#This Row],[Tipo de Servicio]],CatPEP!A:A,CatPEP!C:C,"")</f>
        <v/>
      </c>
      <c r="G795" t="str">
        <f>_xlfn.XLOOKUP(Table1[[#This Row],[PEP]],CatPEP!C:C,CatPEP!D:D,"")</f>
        <v/>
      </c>
      <c r="O795" s="53">
        <f>SUMIF('Registro Refacciones'!B:B, I795, 'Registro Refacciones'!I:I)</f>
        <v>0</v>
      </c>
      <c r="P795" s="26">
        <f>Table1[[#This Row],[Costo Servicio]]+Table1[[#This Row],[Refacciones]]</f>
        <v>0</v>
      </c>
      <c r="Q795" s="26"/>
    </row>
    <row r="796" spans="1:17">
      <c r="A796" s="37" t="str">
        <f>IF(Table1[[#This Row],[Tipo de Servicio]]="","",Caratula!$D$15)</f>
        <v/>
      </c>
      <c r="B796" s="37" t="str">
        <f>IF(Table1[[#This Row],[Tipo de Servicio]]="","",Caratula!$D$16)</f>
        <v/>
      </c>
      <c r="C796" s="24" t="str">
        <f>IF(Table1[[#This Row],[Tipo de Servicio]]="","",Caratula!$D$17)</f>
        <v/>
      </c>
      <c r="D796" s="38" t="str">
        <f>IF(ISBLANK(Table1[[#This Row],[Tipo de Servicio]]),"",Caratula!$D$16)</f>
        <v/>
      </c>
      <c r="F796" t="str">
        <f>_xlfn.XLOOKUP(Table1[[#This Row],[SelGZ]]&amp;Table1[[#This Row],[Tipo de Servicio]],CatPEP!A:A,CatPEP!C:C,"")</f>
        <v/>
      </c>
      <c r="G796" t="str">
        <f>_xlfn.XLOOKUP(Table1[[#This Row],[PEP]],CatPEP!C:C,CatPEP!D:D,"")</f>
        <v/>
      </c>
      <c r="O796" s="53">
        <f>SUMIF('Registro Refacciones'!B:B, I796, 'Registro Refacciones'!I:I)</f>
        <v>0</v>
      </c>
      <c r="P796" s="26">
        <f>Table1[[#This Row],[Costo Servicio]]+Table1[[#This Row],[Refacciones]]</f>
        <v>0</v>
      </c>
      <c r="Q796" s="26"/>
    </row>
    <row r="797" spans="1:17">
      <c r="A797" s="37" t="str">
        <f>IF(Table1[[#This Row],[Tipo de Servicio]]="","",Caratula!$D$15)</f>
        <v/>
      </c>
      <c r="B797" s="37" t="str">
        <f>IF(Table1[[#This Row],[Tipo de Servicio]]="","",Caratula!$D$16)</f>
        <v/>
      </c>
      <c r="C797" s="24" t="str">
        <f>IF(Table1[[#This Row],[Tipo de Servicio]]="","",Caratula!$D$17)</f>
        <v/>
      </c>
      <c r="D797" s="38" t="str">
        <f>IF(ISBLANK(Table1[[#This Row],[Tipo de Servicio]]),"",Caratula!$D$16)</f>
        <v/>
      </c>
      <c r="F797" t="str">
        <f>_xlfn.XLOOKUP(Table1[[#This Row],[SelGZ]]&amp;Table1[[#This Row],[Tipo de Servicio]],CatPEP!A:A,CatPEP!C:C,"")</f>
        <v/>
      </c>
      <c r="G797" t="str">
        <f>_xlfn.XLOOKUP(Table1[[#This Row],[PEP]],CatPEP!C:C,CatPEP!D:D,"")</f>
        <v/>
      </c>
      <c r="O797" s="53">
        <f>SUMIF('Registro Refacciones'!B:B, I797, 'Registro Refacciones'!I:I)</f>
        <v>0</v>
      </c>
      <c r="P797" s="26">
        <f>Table1[[#This Row],[Costo Servicio]]+Table1[[#This Row],[Refacciones]]</f>
        <v>0</v>
      </c>
      <c r="Q797" s="26"/>
    </row>
    <row r="798" spans="1:17">
      <c r="A798" s="37" t="str">
        <f>IF(Table1[[#This Row],[Tipo de Servicio]]="","",Caratula!$D$15)</f>
        <v/>
      </c>
      <c r="B798" s="37" t="str">
        <f>IF(Table1[[#This Row],[Tipo de Servicio]]="","",Caratula!$D$16)</f>
        <v/>
      </c>
      <c r="C798" s="24" t="str">
        <f>IF(Table1[[#This Row],[Tipo de Servicio]]="","",Caratula!$D$17)</f>
        <v/>
      </c>
      <c r="D798" s="38" t="str">
        <f>IF(ISBLANK(Table1[[#This Row],[Tipo de Servicio]]),"",Caratula!$D$16)</f>
        <v/>
      </c>
      <c r="F798" t="str">
        <f>_xlfn.XLOOKUP(Table1[[#This Row],[SelGZ]]&amp;Table1[[#This Row],[Tipo de Servicio]],CatPEP!A:A,CatPEP!C:C,"")</f>
        <v/>
      </c>
      <c r="G798" t="str">
        <f>_xlfn.XLOOKUP(Table1[[#This Row],[PEP]],CatPEP!C:C,CatPEP!D:D,"")</f>
        <v/>
      </c>
      <c r="O798" s="53">
        <f>SUMIF('Registro Refacciones'!B:B, I798, 'Registro Refacciones'!I:I)</f>
        <v>0</v>
      </c>
      <c r="P798" s="26">
        <f>Table1[[#This Row],[Costo Servicio]]+Table1[[#This Row],[Refacciones]]</f>
        <v>0</v>
      </c>
      <c r="Q798" s="26"/>
    </row>
    <row r="799" spans="1:17">
      <c r="A799" s="37" t="str">
        <f>IF(Table1[[#This Row],[Tipo de Servicio]]="","",Caratula!$D$15)</f>
        <v/>
      </c>
      <c r="B799" s="37" t="str">
        <f>IF(Table1[[#This Row],[Tipo de Servicio]]="","",Caratula!$D$16)</f>
        <v/>
      </c>
      <c r="C799" s="24" t="str">
        <f>IF(Table1[[#This Row],[Tipo de Servicio]]="","",Caratula!$D$17)</f>
        <v/>
      </c>
      <c r="D799" s="38" t="str">
        <f>IF(ISBLANK(Table1[[#This Row],[Tipo de Servicio]]),"",Caratula!$D$16)</f>
        <v/>
      </c>
      <c r="F799" t="str">
        <f>_xlfn.XLOOKUP(Table1[[#This Row],[SelGZ]]&amp;Table1[[#This Row],[Tipo de Servicio]],CatPEP!A:A,CatPEP!C:C,"")</f>
        <v/>
      </c>
      <c r="G799" t="str">
        <f>_xlfn.XLOOKUP(Table1[[#This Row],[PEP]],CatPEP!C:C,CatPEP!D:D,"")</f>
        <v/>
      </c>
      <c r="O799" s="53">
        <f>SUMIF('Registro Refacciones'!B:B, I799, 'Registro Refacciones'!I:I)</f>
        <v>0</v>
      </c>
      <c r="P799" s="26">
        <f>Table1[[#This Row],[Costo Servicio]]+Table1[[#This Row],[Refacciones]]</f>
        <v>0</v>
      </c>
      <c r="Q799" s="26"/>
    </row>
    <row r="800" spans="1:17">
      <c r="A800" s="37" t="str">
        <f>IF(Table1[[#This Row],[Tipo de Servicio]]="","",Caratula!$D$15)</f>
        <v/>
      </c>
      <c r="B800" s="37" t="str">
        <f>IF(Table1[[#This Row],[Tipo de Servicio]]="","",Caratula!$D$16)</f>
        <v/>
      </c>
      <c r="C800" s="24" t="str">
        <f>IF(Table1[[#This Row],[Tipo de Servicio]]="","",Caratula!$D$17)</f>
        <v/>
      </c>
      <c r="D800" s="38" t="str">
        <f>IF(ISBLANK(Table1[[#This Row],[Tipo de Servicio]]),"",Caratula!$D$16)</f>
        <v/>
      </c>
      <c r="F800" t="str">
        <f>_xlfn.XLOOKUP(Table1[[#This Row],[SelGZ]]&amp;Table1[[#This Row],[Tipo de Servicio]],CatPEP!A:A,CatPEP!C:C,"")</f>
        <v/>
      </c>
      <c r="G800" t="str">
        <f>_xlfn.XLOOKUP(Table1[[#This Row],[PEP]],CatPEP!C:C,CatPEP!D:D,"")</f>
        <v/>
      </c>
      <c r="O800" s="53">
        <f>SUMIF('Registro Refacciones'!B:B, I800, 'Registro Refacciones'!I:I)</f>
        <v>0</v>
      </c>
      <c r="P800" s="26">
        <f>Table1[[#This Row],[Costo Servicio]]+Table1[[#This Row],[Refacciones]]</f>
        <v>0</v>
      </c>
      <c r="Q800" s="26"/>
    </row>
    <row r="801" spans="1:17">
      <c r="A801" s="37" t="str">
        <f>IF(Table1[[#This Row],[Tipo de Servicio]]="","",Caratula!$D$15)</f>
        <v/>
      </c>
      <c r="B801" s="37" t="str">
        <f>IF(Table1[[#This Row],[Tipo de Servicio]]="","",Caratula!$D$16)</f>
        <v/>
      </c>
      <c r="C801" s="24" t="str">
        <f>IF(Table1[[#This Row],[Tipo de Servicio]]="","",Caratula!$D$17)</f>
        <v/>
      </c>
      <c r="D801" s="38" t="str">
        <f>IF(ISBLANK(Table1[[#This Row],[Tipo de Servicio]]),"",Caratula!$D$16)</f>
        <v/>
      </c>
      <c r="F801" t="str">
        <f>_xlfn.XLOOKUP(Table1[[#This Row],[SelGZ]]&amp;Table1[[#This Row],[Tipo de Servicio]],CatPEP!A:A,CatPEP!C:C,"")</f>
        <v/>
      </c>
      <c r="G801" t="str">
        <f>_xlfn.XLOOKUP(Table1[[#This Row],[PEP]],CatPEP!C:C,CatPEP!D:D,"")</f>
        <v/>
      </c>
      <c r="O801" s="53">
        <f>SUMIF('Registro Refacciones'!B:B, I801, 'Registro Refacciones'!I:I)</f>
        <v>0</v>
      </c>
      <c r="P801" s="26">
        <f>Table1[[#This Row],[Costo Servicio]]+Table1[[#This Row],[Refacciones]]</f>
        <v>0</v>
      </c>
      <c r="Q801" s="26"/>
    </row>
    <row r="802" spans="1:17">
      <c r="A802" s="37" t="str">
        <f>IF(Table1[[#This Row],[Tipo de Servicio]]="","",Caratula!$D$15)</f>
        <v/>
      </c>
      <c r="B802" s="37" t="str">
        <f>IF(Table1[[#This Row],[Tipo de Servicio]]="","",Caratula!$D$16)</f>
        <v/>
      </c>
      <c r="C802" s="24" t="str">
        <f>IF(Table1[[#This Row],[Tipo de Servicio]]="","",Caratula!$D$17)</f>
        <v/>
      </c>
      <c r="D802" s="38" t="str">
        <f>IF(ISBLANK(Table1[[#This Row],[Tipo de Servicio]]),"",Caratula!$D$16)</f>
        <v/>
      </c>
      <c r="F802" t="str">
        <f>_xlfn.XLOOKUP(Table1[[#This Row],[SelGZ]]&amp;Table1[[#This Row],[Tipo de Servicio]],CatPEP!A:A,CatPEP!C:C,"")</f>
        <v/>
      </c>
      <c r="G802" t="str">
        <f>_xlfn.XLOOKUP(Table1[[#This Row],[PEP]],CatPEP!C:C,CatPEP!D:D,"")</f>
        <v/>
      </c>
      <c r="O802" s="53">
        <f>SUMIF('Registro Refacciones'!B:B, I802, 'Registro Refacciones'!I:I)</f>
        <v>0</v>
      </c>
      <c r="P802" s="26">
        <f>Table1[[#This Row],[Costo Servicio]]+Table1[[#This Row],[Refacciones]]</f>
        <v>0</v>
      </c>
      <c r="Q802" s="26"/>
    </row>
    <row r="803" spans="1:17">
      <c r="A803" s="37" t="str">
        <f>IF(Table1[[#This Row],[Tipo de Servicio]]="","",Caratula!$D$15)</f>
        <v/>
      </c>
      <c r="B803" s="37" t="str">
        <f>IF(Table1[[#This Row],[Tipo de Servicio]]="","",Caratula!$D$16)</f>
        <v/>
      </c>
      <c r="C803" s="24" t="str">
        <f>IF(Table1[[#This Row],[Tipo de Servicio]]="","",Caratula!$D$17)</f>
        <v/>
      </c>
      <c r="D803" s="38" t="str">
        <f>IF(ISBLANK(Table1[[#This Row],[Tipo de Servicio]]),"",Caratula!$D$16)</f>
        <v/>
      </c>
      <c r="F803" t="str">
        <f>_xlfn.XLOOKUP(Table1[[#This Row],[SelGZ]]&amp;Table1[[#This Row],[Tipo de Servicio]],CatPEP!A:A,CatPEP!C:C,"")</f>
        <v/>
      </c>
      <c r="G803" t="str">
        <f>_xlfn.XLOOKUP(Table1[[#This Row],[PEP]],CatPEP!C:C,CatPEP!D:D,"")</f>
        <v/>
      </c>
      <c r="O803" s="53">
        <f>SUMIF('Registro Refacciones'!B:B, I803, 'Registro Refacciones'!I:I)</f>
        <v>0</v>
      </c>
      <c r="P803" s="26">
        <f>Table1[[#This Row],[Costo Servicio]]+Table1[[#This Row],[Refacciones]]</f>
        <v>0</v>
      </c>
      <c r="Q803" s="26"/>
    </row>
    <row r="804" spans="1:17">
      <c r="A804" s="37" t="str">
        <f>IF(Table1[[#This Row],[Tipo de Servicio]]="","",Caratula!$D$15)</f>
        <v/>
      </c>
      <c r="B804" s="37" t="str">
        <f>IF(Table1[[#This Row],[Tipo de Servicio]]="","",Caratula!$D$16)</f>
        <v/>
      </c>
      <c r="C804" s="24" t="str">
        <f>IF(Table1[[#This Row],[Tipo de Servicio]]="","",Caratula!$D$17)</f>
        <v/>
      </c>
      <c r="D804" s="38" t="str">
        <f>IF(ISBLANK(Table1[[#This Row],[Tipo de Servicio]]),"",Caratula!$D$16)</f>
        <v/>
      </c>
      <c r="F804" t="str">
        <f>_xlfn.XLOOKUP(Table1[[#This Row],[SelGZ]]&amp;Table1[[#This Row],[Tipo de Servicio]],CatPEP!A:A,CatPEP!C:C,"")</f>
        <v/>
      </c>
      <c r="G804" t="str">
        <f>_xlfn.XLOOKUP(Table1[[#This Row],[PEP]],CatPEP!C:C,CatPEP!D:D,"")</f>
        <v/>
      </c>
      <c r="O804" s="53">
        <f>SUMIF('Registro Refacciones'!B:B, I804, 'Registro Refacciones'!I:I)</f>
        <v>0</v>
      </c>
      <c r="P804" s="26">
        <f>Table1[[#This Row],[Costo Servicio]]+Table1[[#This Row],[Refacciones]]</f>
        <v>0</v>
      </c>
      <c r="Q804" s="26"/>
    </row>
    <row r="805" spans="1:17">
      <c r="A805" s="37" t="str">
        <f>IF(Table1[[#This Row],[Tipo de Servicio]]="","",Caratula!$D$15)</f>
        <v/>
      </c>
      <c r="B805" s="37" t="str">
        <f>IF(Table1[[#This Row],[Tipo de Servicio]]="","",Caratula!$D$16)</f>
        <v/>
      </c>
      <c r="C805" s="24" t="str">
        <f>IF(Table1[[#This Row],[Tipo de Servicio]]="","",Caratula!$D$17)</f>
        <v/>
      </c>
      <c r="D805" s="38" t="str">
        <f>IF(ISBLANK(Table1[[#This Row],[Tipo de Servicio]]),"",Caratula!$D$16)</f>
        <v/>
      </c>
      <c r="F805" t="str">
        <f>_xlfn.XLOOKUP(Table1[[#This Row],[SelGZ]]&amp;Table1[[#This Row],[Tipo de Servicio]],CatPEP!A:A,CatPEP!C:C,"")</f>
        <v/>
      </c>
      <c r="G805" t="str">
        <f>_xlfn.XLOOKUP(Table1[[#This Row],[PEP]],CatPEP!C:C,CatPEP!D:D,"")</f>
        <v/>
      </c>
      <c r="O805" s="53">
        <f>SUMIF('Registro Refacciones'!B:B, I805, 'Registro Refacciones'!I:I)</f>
        <v>0</v>
      </c>
      <c r="P805" s="26">
        <f>Table1[[#This Row],[Costo Servicio]]+Table1[[#This Row],[Refacciones]]</f>
        <v>0</v>
      </c>
      <c r="Q805" s="26"/>
    </row>
    <row r="806" spans="1:17">
      <c r="A806" s="37" t="str">
        <f>IF(Table1[[#This Row],[Tipo de Servicio]]="","",Caratula!$D$15)</f>
        <v/>
      </c>
      <c r="B806" s="37" t="str">
        <f>IF(Table1[[#This Row],[Tipo de Servicio]]="","",Caratula!$D$16)</f>
        <v/>
      </c>
      <c r="C806" s="24" t="str">
        <f>IF(Table1[[#This Row],[Tipo de Servicio]]="","",Caratula!$D$17)</f>
        <v/>
      </c>
      <c r="D806" s="38" t="str">
        <f>IF(ISBLANK(Table1[[#This Row],[Tipo de Servicio]]),"",Caratula!$D$16)</f>
        <v/>
      </c>
      <c r="F806" t="str">
        <f>_xlfn.XLOOKUP(Table1[[#This Row],[SelGZ]]&amp;Table1[[#This Row],[Tipo de Servicio]],CatPEP!A:A,CatPEP!C:C,"")</f>
        <v/>
      </c>
      <c r="G806" t="str">
        <f>_xlfn.XLOOKUP(Table1[[#This Row],[PEP]],CatPEP!C:C,CatPEP!D:D,"")</f>
        <v/>
      </c>
      <c r="O806" s="53">
        <f>SUMIF('Registro Refacciones'!B:B, I806, 'Registro Refacciones'!I:I)</f>
        <v>0</v>
      </c>
      <c r="P806" s="26">
        <f>Table1[[#This Row],[Costo Servicio]]+Table1[[#This Row],[Refacciones]]</f>
        <v>0</v>
      </c>
      <c r="Q806" s="26"/>
    </row>
    <row r="807" spans="1:17">
      <c r="A807" s="37" t="str">
        <f>IF(Table1[[#This Row],[Tipo de Servicio]]="","",Caratula!$D$15)</f>
        <v/>
      </c>
      <c r="B807" s="37" t="str">
        <f>IF(Table1[[#This Row],[Tipo de Servicio]]="","",Caratula!$D$16)</f>
        <v/>
      </c>
      <c r="C807" s="24" t="str">
        <f>IF(Table1[[#This Row],[Tipo de Servicio]]="","",Caratula!$D$17)</f>
        <v/>
      </c>
      <c r="D807" s="38" t="str">
        <f>IF(ISBLANK(Table1[[#This Row],[Tipo de Servicio]]),"",Caratula!$D$16)</f>
        <v/>
      </c>
      <c r="F807" t="str">
        <f>_xlfn.XLOOKUP(Table1[[#This Row],[SelGZ]]&amp;Table1[[#This Row],[Tipo de Servicio]],CatPEP!A:A,CatPEP!C:C,"")</f>
        <v/>
      </c>
      <c r="G807" t="str">
        <f>_xlfn.XLOOKUP(Table1[[#This Row],[PEP]],CatPEP!C:C,CatPEP!D:D,"")</f>
        <v/>
      </c>
      <c r="O807" s="53">
        <f>SUMIF('Registro Refacciones'!B:B, I807, 'Registro Refacciones'!I:I)</f>
        <v>0</v>
      </c>
      <c r="P807" s="26">
        <f>Table1[[#This Row],[Costo Servicio]]+Table1[[#This Row],[Refacciones]]</f>
        <v>0</v>
      </c>
      <c r="Q807" s="26"/>
    </row>
    <row r="808" spans="1:17">
      <c r="A808" s="37" t="str">
        <f>IF(Table1[[#This Row],[Tipo de Servicio]]="","",Caratula!$D$15)</f>
        <v/>
      </c>
      <c r="B808" s="37" t="str">
        <f>IF(Table1[[#This Row],[Tipo de Servicio]]="","",Caratula!$D$16)</f>
        <v/>
      </c>
      <c r="C808" s="24" t="str">
        <f>IF(Table1[[#This Row],[Tipo de Servicio]]="","",Caratula!$D$17)</f>
        <v/>
      </c>
      <c r="D808" s="38" t="str">
        <f>IF(ISBLANK(Table1[[#This Row],[Tipo de Servicio]]),"",Caratula!$D$16)</f>
        <v/>
      </c>
      <c r="F808" t="str">
        <f>_xlfn.XLOOKUP(Table1[[#This Row],[SelGZ]]&amp;Table1[[#This Row],[Tipo de Servicio]],CatPEP!A:A,CatPEP!C:C,"")</f>
        <v/>
      </c>
      <c r="G808" t="str">
        <f>_xlfn.XLOOKUP(Table1[[#This Row],[PEP]],CatPEP!C:C,CatPEP!D:D,"")</f>
        <v/>
      </c>
      <c r="O808" s="53">
        <f>SUMIF('Registro Refacciones'!B:B, I808, 'Registro Refacciones'!I:I)</f>
        <v>0</v>
      </c>
      <c r="P808" s="26">
        <f>Table1[[#This Row],[Costo Servicio]]+Table1[[#This Row],[Refacciones]]</f>
        <v>0</v>
      </c>
      <c r="Q808" s="26"/>
    </row>
    <row r="809" spans="1:17">
      <c r="A809" s="37" t="str">
        <f>IF(Table1[[#This Row],[Tipo de Servicio]]="","",Caratula!$D$15)</f>
        <v/>
      </c>
      <c r="B809" s="37" t="str">
        <f>IF(Table1[[#This Row],[Tipo de Servicio]]="","",Caratula!$D$16)</f>
        <v/>
      </c>
      <c r="C809" s="24" t="str">
        <f>IF(Table1[[#This Row],[Tipo de Servicio]]="","",Caratula!$D$17)</f>
        <v/>
      </c>
      <c r="D809" s="38" t="str">
        <f>IF(ISBLANK(Table1[[#This Row],[Tipo de Servicio]]),"",Caratula!$D$16)</f>
        <v/>
      </c>
      <c r="F809" t="str">
        <f>_xlfn.XLOOKUP(Table1[[#This Row],[SelGZ]]&amp;Table1[[#This Row],[Tipo de Servicio]],CatPEP!A:A,CatPEP!C:C,"")</f>
        <v/>
      </c>
      <c r="G809" t="str">
        <f>_xlfn.XLOOKUP(Table1[[#This Row],[PEP]],CatPEP!C:C,CatPEP!D:D,"")</f>
        <v/>
      </c>
      <c r="O809" s="53">
        <f>SUMIF('Registro Refacciones'!B:B, I809, 'Registro Refacciones'!I:I)</f>
        <v>0</v>
      </c>
      <c r="P809" s="26">
        <f>Table1[[#This Row],[Costo Servicio]]+Table1[[#This Row],[Refacciones]]</f>
        <v>0</v>
      </c>
      <c r="Q809" s="26"/>
    </row>
    <row r="810" spans="1:17">
      <c r="A810" s="37" t="str">
        <f>IF(Table1[[#This Row],[Tipo de Servicio]]="","",Caratula!$D$15)</f>
        <v/>
      </c>
      <c r="B810" s="37" t="str">
        <f>IF(Table1[[#This Row],[Tipo de Servicio]]="","",Caratula!$D$16)</f>
        <v/>
      </c>
      <c r="C810" s="24" t="str">
        <f>IF(Table1[[#This Row],[Tipo de Servicio]]="","",Caratula!$D$17)</f>
        <v/>
      </c>
      <c r="D810" s="38" t="str">
        <f>IF(ISBLANK(Table1[[#This Row],[Tipo de Servicio]]),"",Caratula!$D$16)</f>
        <v/>
      </c>
      <c r="F810" t="str">
        <f>_xlfn.XLOOKUP(Table1[[#This Row],[SelGZ]]&amp;Table1[[#This Row],[Tipo de Servicio]],CatPEP!A:A,CatPEP!C:C,"")</f>
        <v/>
      </c>
      <c r="G810" t="str">
        <f>_xlfn.XLOOKUP(Table1[[#This Row],[PEP]],CatPEP!C:C,CatPEP!D:D,"")</f>
        <v/>
      </c>
      <c r="O810" s="53">
        <f>SUMIF('Registro Refacciones'!B:B, I810, 'Registro Refacciones'!I:I)</f>
        <v>0</v>
      </c>
      <c r="P810" s="26">
        <f>Table1[[#This Row],[Costo Servicio]]+Table1[[#This Row],[Refacciones]]</f>
        <v>0</v>
      </c>
      <c r="Q810" s="26"/>
    </row>
    <row r="811" spans="1:17">
      <c r="A811" s="37" t="str">
        <f>IF(Table1[[#This Row],[Tipo de Servicio]]="","",Caratula!$D$15)</f>
        <v/>
      </c>
      <c r="B811" s="37" t="str">
        <f>IF(Table1[[#This Row],[Tipo de Servicio]]="","",Caratula!$D$16)</f>
        <v/>
      </c>
      <c r="C811" s="24" t="str">
        <f>IF(Table1[[#This Row],[Tipo de Servicio]]="","",Caratula!$D$17)</f>
        <v/>
      </c>
      <c r="D811" s="38" t="str">
        <f>IF(ISBLANK(Table1[[#This Row],[Tipo de Servicio]]),"",Caratula!$D$16)</f>
        <v/>
      </c>
      <c r="F811" t="str">
        <f>_xlfn.XLOOKUP(Table1[[#This Row],[SelGZ]]&amp;Table1[[#This Row],[Tipo de Servicio]],CatPEP!A:A,CatPEP!C:C,"")</f>
        <v/>
      </c>
      <c r="G811" t="str">
        <f>_xlfn.XLOOKUP(Table1[[#This Row],[PEP]],CatPEP!C:C,CatPEP!D:D,"")</f>
        <v/>
      </c>
      <c r="O811" s="53">
        <f>SUMIF('Registro Refacciones'!B:B, I811, 'Registro Refacciones'!I:I)</f>
        <v>0</v>
      </c>
      <c r="P811" s="26">
        <f>Table1[[#This Row],[Costo Servicio]]+Table1[[#This Row],[Refacciones]]</f>
        <v>0</v>
      </c>
      <c r="Q811" s="26"/>
    </row>
    <row r="812" spans="1:17">
      <c r="A812" s="37" t="str">
        <f>IF(Table1[[#This Row],[Tipo de Servicio]]="","",Caratula!$D$15)</f>
        <v/>
      </c>
      <c r="B812" s="37" t="str">
        <f>IF(Table1[[#This Row],[Tipo de Servicio]]="","",Caratula!$D$16)</f>
        <v/>
      </c>
      <c r="C812" s="24" t="str">
        <f>IF(Table1[[#This Row],[Tipo de Servicio]]="","",Caratula!$D$17)</f>
        <v/>
      </c>
      <c r="D812" s="38" t="str">
        <f>IF(ISBLANK(Table1[[#This Row],[Tipo de Servicio]]),"",Caratula!$D$16)</f>
        <v/>
      </c>
      <c r="F812" t="str">
        <f>_xlfn.XLOOKUP(Table1[[#This Row],[SelGZ]]&amp;Table1[[#This Row],[Tipo de Servicio]],CatPEP!A:A,CatPEP!C:C,"")</f>
        <v/>
      </c>
      <c r="G812" t="str">
        <f>_xlfn.XLOOKUP(Table1[[#This Row],[PEP]],CatPEP!C:C,CatPEP!D:D,"")</f>
        <v/>
      </c>
      <c r="O812" s="53">
        <f>SUMIF('Registro Refacciones'!B:B, I812, 'Registro Refacciones'!I:I)</f>
        <v>0</v>
      </c>
      <c r="P812" s="26">
        <f>Table1[[#This Row],[Costo Servicio]]+Table1[[#This Row],[Refacciones]]</f>
        <v>0</v>
      </c>
      <c r="Q812" s="26"/>
    </row>
    <row r="813" spans="1:17">
      <c r="A813" s="37" t="str">
        <f>IF(Table1[[#This Row],[Tipo de Servicio]]="","",Caratula!$D$15)</f>
        <v/>
      </c>
      <c r="B813" s="37" t="str">
        <f>IF(Table1[[#This Row],[Tipo de Servicio]]="","",Caratula!$D$16)</f>
        <v/>
      </c>
      <c r="C813" s="24" t="str">
        <f>IF(Table1[[#This Row],[Tipo de Servicio]]="","",Caratula!$D$17)</f>
        <v/>
      </c>
      <c r="D813" s="38" t="str">
        <f>IF(ISBLANK(Table1[[#This Row],[Tipo de Servicio]]),"",Caratula!$D$16)</f>
        <v/>
      </c>
      <c r="F813" t="str">
        <f>_xlfn.XLOOKUP(Table1[[#This Row],[SelGZ]]&amp;Table1[[#This Row],[Tipo de Servicio]],CatPEP!A:A,CatPEP!C:C,"")</f>
        <v/>
      </c>
      <c r="G813" t="str">
        <f>_xlfn.XLOOKUP(Table1[[#This Row],[PEP]],CatPEP!C:C,CatPEP!D:D,"")</f>
        <v/>
      </c>
      <c r="O813" s="53">
        <f>SUMIF('Registro Refacciones'!B:B, I813, 'Registro Refacciones'!I:I)</f>
        <v>0</v>
      </c>
      <c r="P813" s="26">
        <f>Table1[[#This Row],[Costo Servicio]]+Table1[[#This Row],[Refacciones]]</f>
        <v>0</v>
      </c>
      <c r="Q813" s="26"/>
    </row>
    <row r="814" spans="1:17">
      <c r="A814" s="37" t="str">
        <f>IF(Table1[[#This Row],[Tipo de Servicio]]="","",Caratula!$D$15)</f>
        <v/>
      </c>
      <c r="B814" s="37" t="str">
        <f>IF(Table1[[#This Row],[Tipo de Servicio]]="","",Caratula!$D$16)</f>
        <v/>
      </c>
      <c r="C814" s="24" t="str">
        <f>IF(Table1[[#This Row],[Tipo de Servicio]]="","",Caratula!$D$17)</f>
        <v/>
      </c>
      <c r="D814" s="38" t="str">
        <f>IF(ISBLANK(Table1[[#This Row],[Tipo de Servicio]]),"",Caratula!$D$16)</f>
        <v/>
      </c>
      <c r="F814" t="str">
        <f>_xlfn.XLOOKUP(Table1[[#This Row],[SelGZ]]&amp;Table1[[#This Row],[Tipo de Servicio]],CatPEP!A:A,CatPEP!C:C,"")</f>
        <v/>
      </c>
      <c r="G814" t="str">
        <f>_xlfn.XLOOKUP(Table1[[#This Row],[PEP]],CatPEP!C:C,CatPEP!D:D,"")</f>
        <v/>
      </c>
      <c r="O814" s="53">
        <f>SUMIF('Registro Refacciones'!B:B, I814, 'Registro Refacciones'!I:I)</f>
        <v>0</v>
      </c>
      <c r="P814" s="26">
        <f>Table1[[#This Row],[Costo Servicio]]+Table1[[#This Row],[Refacciones]]</f>
        <v>0</v>
      </c>
      <c r="Q814" s="26"/>
    </row>
    <row r="815" spans="1:17">
      <c r="A815" s="37" t="str">
        <f>IF(Table1[[#This Row],[Tipo de Servicio]]="","",Caratula!$D$15)</f>
        <v/>
      </c>
      <c r="B815" s="37" t="str">
        <f>IF(Table1[[#This Row],[Tipo de Servicio]]="","",Caratula!$D$16)</f>
        <v/>
      </c>
      <c r="C815" s="24" t="str">
        <f>IF(Table1[[#This Row],[Tipo de Servicio]]="","",Caratula!$D$17)</f>
        <v/>
      </c>
      <c r="D815" s="38" t="str">
        <f>IF(ISBLANK(Table1[[#This Row],[Tipo de Servicio]]),"",Caratula!$D$16)</f>
        <v/>
      </c>
      <c r="F815" t="str">
        <f>_xlfn.XLOOKUP(Table1[[#This Row],[SelGZ]]&amp;Table1[[#This Row],[Tipo de Servicio]],CatPEP!A:A,CatPEP!C:C,"")</f>
        <v/>
      </c>
      <c r="G815" t="str">
        <f>_xlfn.XLOOKUP(Table1[[#This Row],[PEP]],CatPEP!C:C,CatPEP!D:D,"")</f>
        <v/>
      </c>
      <c r="O815" s="53">
        <f>SUMIF('Registro Refacciones'!B:B, I815, 'Registro Refacciones'!I:I)</f>
        <v>0</v>
      </c>
      <c r="P815" s="26">
        <f>Table1[[#This Row],[Costo Servicio]]+Table1[[#This Row],[Refacciones]]</f>
        <v>0</v>
      </c>
      <c r="Q815" s="26"/>
    </row>
    <row r="816" spans="1:17">
      <c r="A816" s="37" t="str">
        <f>IF(Table1[[#This Row],[Tipo de Servicio]]="","",Caratula!$D$15)</f>
        <v/>
      </c>
      <c r="B816" s="37" t="str">
        <f>IF(Table1[[#This Row],[Tipo de Servicio]]="","",Caratula!$D$16)</f>
        <v/>
      </c>
      <c r="C816" s="24" t="str">
        <f>IF(Table1[[#This Row],[Tipo de Servicio]]="","",Caratula!$D$17)</f>
        <v/>
      </c>
      <c r="D816" s="38" t="str">
        <f>IF(ISBLANK(Table1[[#This Row],[Tipo de Servicio]]),"",Caratula!$D$16)</f>
        <v/>
      </c>
      <c r="F816" t="str">
        <f>_xlfn.XLOOKUP(Table1[[#This Row],[SelGZ]]&amp;Table1[[#This Row],[Tipo de Servicio]],CatPEP!A:A,CatPEP!C:C,"")</f>
        <v/>
      </c>
      <c r="G816" t="str">
        <f>_xlfn.XLOOKUP(Table1[[#This Row],[PEP]],CatPEP!C:C,CatPEP!D:D,"")</f>
        <v/>
      </c>
      <c r="O816" s="53">
        <f>SUMIF('Registro Refacciones'!B:B, I816, 'Registro Refacciones'!I:I)</f>
        <v>0</v>
      </c>
      <c r="P816" s="26">
        <f>Table1[[#This Row],[Costo Servicio]]+Table1[[#This Row],[Refacciones]]</f>
        <v>0</v>
      </c>
      <c r="Q816" s="26"/>
    </row>
    <row r="817" spans="1:17">
      <c r="A817" s="37" t="str">
        <f>IF(Table1[[#This Row],[Tipo de Servicio]]="","",Caratula!$D$15)</f>
        <v/>
      </c>
      <c r="B817" s="37" t="str">
        <f>IF(Table1[[#This Row],[Tipo de Servicio]]="","",Caratula!$D$16)</f>
        <v/>
      </c>
      <c r="C817" s="24" t="str">
        <f>IF(Table1[[#This Row],[Tipo de Servicio]]="","",Caratula!$D$17)</f>
        <v/>
      </c>
      <c r="D817" s="38" t="str">
        <f>IF(ISBLANK(Table1[[#This Row],[Tipo de Servicio]]),"",Caratula!$D$16)</f>
        <v/>
      </c>
      <c r="F817" t="str">
        <f>_xlfn.XLOOKUP(Table1[[#This Row],[SelGZ]]&amp;Table1[[#This Row],[Tipo de Servicio]],CatPEP!A:A,CatPEP!C:C,"")</f>
        <v/>
      </c>
      <c r="G817" t="str">
        <f>_xlfn.XLOOKUP(Table1[[#This Row],[PEP]],CatPEP!C:C,CatPEP!D:D,"")</f>
        <v/>
      </c>
      <c r="O817" s="53">
        <f>SUMIF('Registro Refacciones'!B:B, I817, 'Registro Refacciones'!I:I)</f>
        <v>0</v>
      </c>
      <c r="P817" s="26">
        <f>Table1[[#This Row],[Costo Servicio]]+Table1[[#This Row],[Refacciones]]</f>
        <v>0</v>
      </c>
      <c r="Q817" s="26"/>
    </row>
    <row r="818" spans="1:17">
      <c r="A818" s="37" t="str">
        <f>IF(Table1[[#This Row],[Tipo de Servicio]]="","",Caratula!$D$15)</f>
        <v/>
      </c>
      <c r="B818" s="37" t="str">
        <f>IF(Table1[[#This Row],[Tipo de Servicio]]="","",Caratula!$D$16)</f>
        <v/>
      </c>
      <c r="C818" s="24" t="str">
        <f>IF(Table1[[#This Row],[Tipo de Servicio]]="","",Caratula!$D$17)</f>
        <v/>
      </c>
      <c r="D818" s="38" t="str">
        <f>IF(ISBLANK(Table1[[#This Row],[Tipo de Servicio]]),"",Caratula!$D$16)</f>
        <v/>
      </c>
      <c r="F818" t="str">
        <f>_xlfn.XLOOKUP(Table1[[#This Row],[SelGZ]]&amp;Table1[[#This Row],[Tipo de Servicio]],CatPEP!A:A,CatPEP!C:C,"")</f>
        <v/>
      </c>
      <c r="G818" t="str">
        <f>_xlfn.XLOOKUP(Table1[[#This Row],[PEP]],CatPEP!C:C,CatPEP!D:D,"")</f>
        <v/>
      </c>
      <c r="O818" s="53">
        <f>SUMIF('Registro Refacciones'!B:B, I818, 'Registro Refacciones'!I:I)</f>
        <v>0</v>
      </c>
      <c r="P818" s="26">
        <f>Table1[[#This Row],[Costo Servicio]]+Table1[[#This Row],[Refacciones]]</f>
        <v>0</v>
      </c>
      <c r="Q818" s="26"/>
    </row>
    <row r="819" spans="1:17">
      <c r="A819" s="37" t="str">
        <f>IF(Table1[[#This Row],[Tipo de Servicio]]="","",Caratula!$D$15)</f>
        <v/>
      </c>
      <c r="B819" s="37" t="str">
        <f>IF(Table1[[#This Row],[Tipo de Servicio]]="","",Caratula!$D$16)</f>
        <v/>
      </c>
      <c r="C819" s="24" t="str">
        <f>IF(Table1[[#This Row],[Tipo de Servicio]]="","",Caratula!$D$17)</f>
        <v/>
      </c>
      <c r="D819" s="38" t="str">
        <f>IF(ISBLANK(Table1[[#This Row],[Tipo de Servicio]]),"",Caratula!$D$16)</f>
        <v/>
      </c>
      <c r="F819" t="str">
        <f>_xlfn.XLOOKUP(Table1[[#This Row],[SelGZ]]&amp;Table1[[#This Row],[Tipo de Servicio]],CatPEP!A:A,CatPEP!C:C,"")</f>
        <v/>
      </c>
      <c r="G819" t="str">
        <f>_xlfn.XLOOKUP(Table1[[#This Row],[PEP]],CatPEP!C:C,CatPEP!D:D,"")</f>
        <v/>
      </c>
      <c r="O819" s="53">
        <f>SUMIF('Registro Refacciones'!B:B, I819, 'Registro Refacciones'!I:I)</f>
        <v>0</v>
      </c>
      <c r="P819" s="26">
        <f>Table1[[#This Row],[Costo Servicio]]+Table1[[#This Row],[Refacciones]]</f>
        <v>0</v>
      </c>
      <c r="Q819" s="26"/>
    </row>
    <row r="820" spans="1:17">
      <c r="A820" s="37" t="str">
        <f>IF(Table1[[#This Row],[Tipo de Servicio]]="","",Caratula!$D$15)</f>
        <v/>
      </c>
      <c r="B820" s="37" t="str">
        <f>IF(Table1[[#This Row],[Tipo de Servicio]]="","",Caratula!$D$16)</f>
        <v/>
      </c>
      <c r="C820" s="24" t="str">
        <f>IF(Table1[[#This Row],[Tipo de Servicio]]="","",Caratula!$D$17)</f>
        <v/>
      </c>
      <c r="D820" s="38" t="str">
        <f>IF(ISBLANK(Table1[[#This Row],[Tipo de Servicio]]),"",Caratula!$D$16)</f>
        <v/>
      </c>
      <c r="F820" t="str">
        <f>_xlfn.XLOOKUP(Table1[[#This Row],[SelGZ]]&amp;Table1[[#This Row],[Tipo de Servicio]],CatPEP!A:A,CatPEP!C:C,"")</f>
        <v/>
      </c>
      <c r="G820" t="str">
        <f>_xlfn.XLOOKUP(Table1[[#This Row],[PEP]],CatPEP!C:C,CatPEP!D:D,"")</f>
        <v/>
      </c>
      <c r="O820" s="53">
        <f>SUMIF('Registro Refacciones'!B:B, I820, 'Registro Refacciones'!I:I)</f>
        <v>0</v>
      </c>
      <c r="P820" s="26">
        <f>Table1[[#This Row],[Costo Servicio]]+Table1[[#This Row],[Refacciones]]</f>
        <v>0</v>
      </c>
      <c r="Q820" s="26"/>
    </row>
    <row r="821" spans="1:17">
      <c r="A821" s="37" t="str">
        <f>IF(Table1[[#This Row],[Tipo de Servicio]]="","",Caratula!$D$15)</f>
        <v/>
      </c>
      <c r="B821" s="37" t="str">
        <f>IF(Table1[[#This Row],[Tipo de Servicio]]="","",Caratula!$D$16)</f>
        <v/>
      </c>
      <c r="C821" s="24" t="str">
        <f>IF(Table1[[#This Row],[Tipo de Servicio]]="","",Caratula!$D$17)</f>
        <v/>
      </c>
      <c r="D821" s="38" t="str">
        <f>IF(ISBLANK(Table1[[#This Row],[Tipo de Servicio]]),"",Caratula!$D$16)</f>
        <v/>
      </c>
      <c r="F821" t="str">
        <f>_xlfn.XLOOKUP(Table1[[#This Row],[SelGZ]]&amp;Table1[[#This Row],[Tipo de Servicio]],CatPEP!A:A,CatPEP!C:C,"")</f>
        <v/>
      </c>
      <c r="G821" t="str">
        <f>_xlfn.XLOOKUP(Table1[[#This Row],[PEP]],CatPEP!C:C,CatPEP!D:D,"")</f>
        <v/>
      </c>
      <c r="O821" s="53">
        <f>SUMIF('Registro Refacciones'!B:B, I821, 'Registro Refacciones'!I:I)</f>
        <v>0</v>
      </c>
      <c r="P821" s="26">
        <f>Table1[[#This Row],[Costo Servicio]]+Table1[[#This Row],[Refacciones]]</f>
        <v>0</v>
      </c>
      <c r="Q821" s="26"/>
    </row>
    <row r="822" spans="1:17">
      <c r="A822" s="37" t="str">
        <f>IF(Table1[[#This Row],[Tipo de Servicio]]="","",Caratula!$D$15)</f>
        <v/>
      </c>
      <c r="B822" s="37" t="str">
        <f>IF(Table1[[#This Row],[Tipo de Servicio]]="","",Caratula!$D$16)</f>
        <v/>
      </c>
      <c r="C822" s="24" t="str">
        <f>IF(Table1[[#This Row],[Tipo de Servicio]]="","",Caratula!$D$17)</f>
        <v/>
      </c>
      <c r="D822" s="38" t="str">
        <f>IF(ISBLANK(Table1[[#This Row],[Tipo de Servicio]]),"",Caratula!$D$16)</f>
        <v/>
      </c>
      <c r="F822" t="str">
        <f>_xlfn.XLOOKUP(Table1[[#This Row],[SelGZ]]&amp;Table1[[#This Row],[Tipo de Servicio]],CatPEP!A:A,CatPEP!C:C,"")</f>
        <v/>
      </c>
      <c r="G822" t="str">
        <f>_xlfn.XLOOKUP(Table1[[#This Row],[PEP]],CatPEP!C:C,CatPEP!D:D,"")</f>
        <v/>
      </c>
      <c r="O822" s="53">
        <f>SUMIF('Registro Refacciones'!B:B, I822, 'Registro Refacciones'!I:I)</f>
        <v>0</v>
      </c>
      <c r="P822" s="26">
        <f>Table1[[#This Row],[Costo Servicio]]+Table1[[#This Row],[Refacciones]]</f>
        <v>0</v>
      </c>
      <c r="Q822" s="26"/>
    </row>
    <row r="823" spans="1:17">
      <c r="A823" s="37" t="str">
        <f>IF(Table1[[#This Row],[Tipo de Servicio]]="","",Caratula!$D$15)</f>
        <v/>
      </c>
      <c r="B823" s="37" t="str">
        <f>IF(Table1[[#This Row],[Tipo de Servicio]]="","",Caratula!$D$16)</f>
        <v/>
      </c>
      <c r="C823" s="24" t="str">
        <f>IF(Table1[[#This Row],[Tipo de Servicio]]="","",Caratula!$D$17)</f>
        <v/>
      </c>
      <c r="D823" s="38" t="str">
        <f>IF(ISBLANK(Table1[[#This Row],[Tipo de Servicio]]),"",Caratula!$D$16)</f>
        <v/>
      </c>
      <c r="F823" t="str">
        <f>_xlfn.XLOOKUP(Table1[[#This Row],[SelGZ]]&amp;Table1[[#This Row],[Tipo de Servicio]],CatPEP!A:A,CatPEP!C:C,"")</f>
        <v/>
      </c>
      <c r="G823" t="str">
        <f>_xlfn.XLOOKUP(Table1[[#This Row],[PEP]],CatPEP!C:C,CatPEP!D:D,"")</f>
        <v/>
      </c>
      <c r="O823" s="53">
        <f>SUMIF('Registro Refacciones'!B:B, I823, 'Registro Refacciones'!I:I)</f>
        <v>0</v>
      </c>
      <c r="P823" s="26">
        <f>Table1[[#This Row],[Costo Servicio]]+Table1[[#This Row],[Refacciones]]</f>
        <v>0</v>
      </c>
      <c r="Q823" s="26"/>
    </row>
    <row r="824" spans="1:17">
      <c r="A824" s="37" t="str">
        <f>IF(Table1[[#This Row],[Tipo de Servicio]]="","",Caratula!$D$15)</f>
        <v/>
      </c>
      <c r="B824" s="37" t="str">
        <f>IF(Table1[[#This Row],[Tipo de Servicio]]="","",Caratula!$D$16)</f>
        <v/>
      </c>
      <c r="C824" s="24" t="str">
        <f>IF(Table1[[#This Row],[Tipo de Servicio]]="","",Caratula!$D$17)</f>
        <v/>
      </c>
      <c r="D824" s="38" t="str">
        <f>IF(ISBLANK(Table1[[#This Row],[Tipo de Servicio]]),"",Caratula!$D$16)</f>
        <v/>
      </c>
      <c r="F824" t="str">
        <f>_xlfn.XLOOKUP(Table1[[#This Row],[SelGZ]]&amp;Table1[[#This Row],[Tipo de Servicio]],CatPEP!A:A,CatPEP!C:C,"")</f>
        <v/>
      </c>
      <c r="G824" t="str">
        <f>_xlfn.XLOOKUP(Table1[[#This Row],[PEP]],CatPEP!C:C,CatPEP!D:D,"")</f>
        <v/>
      </c>
      <c r="O824" s="53">
        <f>SUMIF('Registro Refacciones'!B:B, I824, 'Registro Refacciones'!I:I)</f>
        <v>0</v>
      </c>
      <c r="P824" s="26">
        <f>Table1[[#This Row],[Costo Servicio]]+Table1[[#This Row],[Refacciones]]</f>
        <v>0</v>
      </c>
      <c r="Q824" s="26"/>
    </row>
    <row r="825" spans="1:17">
      <c r="A825" s="37" t="str">
        <f>IF(Table1[[#This Row],[Tipo de Servicio]]="","",Caratula!$D$15)</f>
        <v/>
      </c>
      <c r="B825" s="37" t="str">
        <f>IF(Table1[[#This Row],[Tipo de Servicio]]="","",Caratula!$D$16)</f>
        <v/>
      </c>
      <c r="C825" s="24" t="str">
        <f>IF(Table1[[#This Row],[Tipo de Servicio]]="","",Caratula!$D$17)</f>
        <v/>
      </c>
      <c r="D825" s="38" t="str">
        <f>IF(ISBLANK(Table1[[#This Row],[Tipo de Servicio]]),"",Caratula!$D$16)</f>
        <v/>
      </c>
      <c r="F825" t="str">
        <f>_xlfn.XLOOKUP(Table1[[#This Row],[SelGZ]]&amp;Table1[[#This Row],[Tipo de Servicio]],CatPEP!A:A,CatPEP!C:C,"")</f>
        <v/>
      </c>
      <c r="G825" t="str">
        <f>_xlfn.XLOOKUP(Table1[[#This Row],[PEP]],CatPEP!C:C,CatPEP!D:D,"")</f>
        <v/>
      </c>
      <c r="O825" s="53">
        <f>SUMIF('Registro Refacciones'!B:B, I825, 'Registro Refacciones'!I:I)</f>
        <v>0</v>
      </c>
      <c r="P825" s="26">
        <f>Table1[[#This Row],[Costo Servicio]]+Table1[[#This Row],[Refacciones]]</f>
        <v>0</v>
      </c>
      <c r="Q825" s="26"/>
    </row>
    <row r="826" spans="1:17">
      <c r="A826" s="37" t="str">
        <f>IF(Table1[[#This Row],[Tipo de Servicio]]="","",Caratula!$D$15)</f>
        <v/>
      </c>
      <c r="B826" s="37" t="str">
        <f>IF(Table1[[#This Row],[Tipo de Servicio]]="","",Caratula!$D$16)</f>
        <v/>
      </c>
      <c r="C826" s="24" t="str">
        <f>IF(Table1[[#This Row],[Tipo de Servicio]]="","",Caratula!$D$17)</f>
        <v/>
      </c>
      <c r="D826" s="38" t="str">
        <f>IF(ISBLANK(Table1[[#This Row],[Tipo de Servicio]]),"",Caratula!$D$16)</f>
        <v/>
      </c>
      <c r="F826" t="str">
        <f>_xlfn.XLOOKUP(Table1[[#This Row],[SelGZ]]&amp;Table1[[#This Row],[Tipo de Servicio]],CatPEP!A:A,CatPEP!C:C,"")</f>
        <v/>
      </c>
      <c r="G826" t="str">
        <f>_xlfn.XLOOKUP(Table1[[#This Row],[PEP]],CatPEP!C:C,CatPEP!D:D,"")</f>
        <v/>
      </c>
      <c r="O826" s="53">
        <f>SUMIF('Registro Refacciones'!B:B, I826, 'Registro Refacciones'!I:I)</f>
        <v>0</v>
      </c>
      <c r="P826" s="26">
        <f>Table1[[#This Row],[Costo Servicio]]+Table1[[#This Row],[Refacciones]]</f>
        <v>0</v>
      </c>
      <c r="Q826" s="26"/>
    </row>
    <row r="827" spans="1:17">
      <c r="A827" s="37" t="str">
        <f>IF(Table1[[#This Row],[Tipo de Servicio]]="","",Caratula!$D$15)</f>
        <v/>
      </c>
      <c r="B827" s="37" t="str">
        <f>IF(Table1[[#This Row],[Tipo de Servicio]]="","",Caratula!$D$16)</f>
        <v/>
      </c>
      <c r="C827" s="24" t="str">
        <f>IF(Table1[[#This Row],[Tipo de Servicio]]="","",Caratula!$D$17)</f>
        <v/>
      </c>
      <c r="D827" s="38" t="str">
        <f>IF(ISBLANK(Table1[[#This Row],[Tipo de Servicio]]),"",Caratula!$D$16)</f>
        <v/>
      </c>
      <c r="F827" t="str">
        <f>_xlfn.XLOOKUP(Table1[[#This Row],[SelGZ]]&amp;Table1[[#This Row],[Tipo de Servicio]],CatPEP!A:A,CatPEP!C:C,"")</f>
        <v/>
      </c>
      <c r="G827" t="str">
        <f>_xlfn.XLOOKUP(Table1[[#This Row],[PEP]],CatPEP!C:C,CatPEP!D:D,"")</f>
        <v/>
      </c>
      <c r="O827" s="53">
        <f>SUMIF('Registro Refacciones'!B:B, I827, 'Registro Refacciones'!I:I)</f>
        <v>0</v>
      </c>
      <c r="P827" s="26">
        <f>Table1[[#This Row],[Costo Servicio]]+Table1[[#This Row],[Refacciones]]</f>
        <v>0</v>
      </c>
      <c r="Q827" s="26"/>
    </row>
    <row r="828" spans="1:17">
      <c r="A828" s="37" t="str">
        <f>IF(Table1[[#This Row],[Tipo de Servicio]]="","",Caratula!$D$15)</f>
        <v/>
      </c>
      <c r="B828" s="37" t="str">
        <f>IF(Table1[[#This Row],[Tipo de Servicio]]="","",Caratula!$D$16)</f>
        <v/>
      </c>
      <c r="C828" s="24" t="str">
        <f>IF(Table1[[#This Row],[Tipo de Servicio]]="","",Caratula!$D$17)</f>
        <v/>
      </c>
      <c r="D828" s="38" t="str">
        <f>IF(ISBLANK(Table1[[#This Row],[Tipo de Servicio]]),"",Caratula!$D$16)</f>
        <v/>
      </c>
      <c r="F828" t="str">
        <f>_xlfn.XLOOKUP(Table1[[#This Row],[SelGZ]]&amp;Table1[[#This Row],[Tipo de Servicio]],CatPEP!A:A,CatPEP!C:C,"")</f>
        <v/>
      </c>
      <c r="G828" t="str">
        <f>_xlfn.XLOOKUP(Table1[[#This Row],[PEP]],CatPEP!C:C,CatPEP!D:D,"")</f>
        <v/>
      </c>
      <c r="O828" s="53">
        <f>SUMIF('Registro Refacciones'!B:B, I828, 'Registro Refacciones'!I:I)</f>
        <v>0</v>
      </c>
      <c r="P828" s="26">
        <f>Table1[[#This Row],[Costo Servicio]]+Table1[[#This Row],[Refacciones]]</f>
        <v>0</v>
      </c>
      <c r="Q828" s="26"/>
    </row>
    <row r="829" spans="1:17">
      <c r="A829" s="37" t="str">
        <f>IF(Table1[[#This Row],[Tipo de Servicio]]="","",Caratula!$D$15)</f>
        <v/>
      </c>
      <c r="B829" s="37" t="str">
        <f>IF(Table1[[#This Row],[Tipo de Servicio]]="","",Caratula!$D$16)</f>
        <v/>
      </c>
      <c r="C829" s="24" t="str">
        <f>IF(Table1[[#This Row],[Tipo de Servicio]]="","",Caratula!$D$17)</f>
        <v/>
      </c>
      <c r="D829" s="38" t="str">
        <f>IF(ISBLANK(Table1[[#This Row],[Tipo de Servicio]]),"",Caratula!$D$16)</f>
        <v/>
      </c>
      <c r="F829" t="str">
        <f>_xlfn.XLOOKUP(Table1[[#This Row],[SelGZ]]&amp;Table1[[#This Row],[Tipo de Servicio]],CatPEP!A:A,CatPEP!C:C,"")</f>
        <v/>
      </c>
      <c r="G829" t="str">
        <f>_xlfn.XLOOKUP(Table1[[#This Row],[PEP]],CatPEP!C:C,CatPEP!D:D,"")</f>
        <v/>
      </c>
      <c r="O829" s="53">
        <f>SUMIF('Registro Refacciones'!B:B, I829, 'Registro Refacciones'!I:I)</f>
        <v>0</v>
      </c>
      <c r="P829" s="26">
        <f>Table1[[#This Row],[Costo Servicio]]+Table1[[#This Row],[Refacciones]]</f>
        <v>0</v>
      </c>
      <c r="Q829" s="26"/>
    </row>
    <row r="830" spans="1:17">
      <c r="A830" s="37" t="str">
        <f>IF(Table1[[#This Row],[Tipo de Servicio]]="","",Caratula!$D$15)</f>
        <v/>
      </c>
      <c r="B830" s="37" t="str">
        <f>IF(Table1[[#This Row],[Tipo de Servicio]]="","",Caratula!$D$16)</f>
        <v/>
      </c>
      <c r="C830" s="24" t="str">
        <f>IF(Table1[[#This Row],[Tipo de Servicio]]="","",Caratula!$D$17)</f>
        <v/>
      </c>
      <c r="D830" s="38" t="str">
        <f>IF(ISBLANK(Table1[[#This Row],[Tipo de Servicio]]),"",Caratula!$D$16)</f>
        <v/>
      </c>
      <c r="F830" t="str">
        <f>_xlfn.XLOOKUP(Table1[[#This Row],[SelGZ]]&amp;Table1[[#This Row],[Tipo de Servicio]],CatPEP!A:A,CatPEP!C:C,"")</f>
        <v/>
      </c>
      <c r="G830" t="str">
        <f>_xlfn.XLOOKUP(Table1[[#This Row],[PEP]],CatPEP!C:C,CatPEP!D:D,"")</f>
        <v/>
      </c>
      <c r="O830" s="53">
        <f>SUMIF('Registro Refacciones'!B:B, I830, 'Registro Refacciones'!I:I)</f>
        <v>0</v>
      </c>
      <c r="P830" s="26">
        <f>Table1[[#This Row],[Costo Servicio]]+Table1[[#This Row],[Refacciones]]</f>
        <v>0</v>
      </c>
      <c r="Q830" s="26"/>
    </row>
    <row r="831" spans="1:17">
      <c r="A831" s="37" t="str">
        <f>IF(Table1[[#This Row],[Tipo de Servicio]]="","",Caratula!$D$15)</f>
        <v/>
      </c>
      <c r="B831" s="37" t="str">
        <f>IF(Table1[[#This Row],[Tipo de Servicio]]="","",Caratula!$D$16)</f>
        <v/>
      </c>
      <c r="C831" s="24" t="str">
        <f>IF(Table1[[#This Row],[Tipo de Servicio]]="","",Caratula!$D$17)</f>
        <v/>
      </c>
      <c r="D831" s="38" t="str">
        <f>IF(ISBLANK(Table1[[#This Row],[Tipo de Servicio]]),"",Caratula!$D$16)</f>
        <v/>
      </c>
      <c r="F831" t="str">
        <f>_xlfn.XLOOKUP(Table1[[#This Row],[SelGZ]]&amp;Table1[[#This Row],[Tipo de Servicio]],CatPEP!A:A,CatPEP!C:C,"")</f>
        <v/>
      </c>
      <c r="G831" t="str">
        <f>_xlfn.XLOOKUP(Table1[[#This Row],[PEP]],CatPEP!C:C,CatPEP!D:D,"")</f>
        <v/>
      </c>
      <c r="O831" s="53">
        <f>SUMIF('Registro Refacciones'!B:B, I831, 'Registro Refacciones'!I:I)</f>
        <v>0</v>
      </c>
      <c r="P831" s="26">
        <f>Table1[[#This Row],[Costo Servicio]]+Table1[[#This Row],[Refacciones]]</f>
        <v>0</v>
      </c>
      <c r="Q831" s="26"/>
    </row>
    <row r="832" spans="1:17">
      <c r="A832" s="37" t="str">
        <f>IF(Table1[[#This Row],[Tipo de Servicio]]="","",Caratula!$D$15)</f>
        <v/>
      </c>
      <c r="B832" s="37" t="str">
        <f>IF(Table1[[#This Row],[Tipo de Servicio]]="","",Caratula!$D$16)</f>
        <v/>
      </c>
      <c r="C832" s="24" t="str">
        <f>IF(Table1[[#This Row],[Tipo de Servicio]]="","",Caratula!$D$17)</f>
        <v/>
      </c>
      <c r="D832" s="38" t="str">
        <f>IF(ISBLANK(Table1[[#This Row],[Tipo de Servicio]]),"",Caratula!$D$16)</f>
        <v/>
      </c>
      <c r="F832" t="str">
        <f>_xlfn.XLOOKUP(Table1[[#This Row],[SelGZ]]&amp;Table1[[#This Row],[Tipo de Servicio]],CatPEP!A:A,CatPEP!C:C,"")</f>
        <v/>
      </c>
      <c r="G832" t="str">
        <f>_xlfn.XLOOKUP(Table1[[#This Row],[PEP]],CatPEP!C:C,CatPEP!D:D,"")</f>
        <v/>
      </c>
      <c r="O832" s="53">
        <f>SUMIF('Registro Refacciones'!B:B, I832, 'Registro Refacciones'!I:I)</f>
        <v>0</v>
      </c>
      <c r="P832" s="26">
        <f>Table1[[#This Row],[Costo Servicio]]+Table1[[#This Row],[Refacciones]]</f>
        <v>0</v>
      </c>
      <c r="Q832" s="26"/>
    </row>
    <row r="833" spans="1:17">
      <c r="A833" s="37" t="str">
        <f>IF(Table1[[#This Row],[Tipo de Servicio]]="","",Caratula!$D$15)</f>
        <v/>
      </c>
      <c r="B833" s="37" t="str">
        <f>IF(Table1[[#This Row],[Tipo de Servicio]]="","",Caratula!$D$16)</f>
        <v/>
      </c>
      <c r="C833" s="24" t="str">
        <f>IF(Table1[[#This Row],[Tipo de Servicio]]="","",Caratula!$D$17)</f>
        <v/>
      </c>
      <c r="D833" s="38" t="str">
        <f>IF(ISBLANK(Table1[[#This Row],[Tipo de Servicio]]),"",Caratula!$D$16)</f>
        <v/>
      </c>
      <c r="F833" t="str">
        <f>_xlfn.XLOOKUP(Table1[[#This Row],[SelGZ]]&amp;Table1[[#This Row],[Tipo de Servicio]],CatPEP!A:A,CatPEP!C:C,"")</f>
        <v/>
      </c>
      <c r="G833" t="str">
        <f>_xlfn.XLOOKUP(Table1[[#This Row],[PEP]],CatPEP!C:C,CatPEP!D:D,"")</f>
        <v/>
      </c>
      <c r="O833" s="53">
        <f>SUMIF('Registro Refacciones'!B:B, I833, 'Registro Refacciones'!I:I)</f>
        <v>0</v>
      </c>
      <c r="P833" s="26">
        <f>Table1[[#This Row],[Costo Servicio]]+Table1[[#This Row],[Refacciones]]</f>
        <v>0</v>
      </c>
      <c r="Q833" s="26"/>
    </row>
    <row r="834" spans="1:17">
      <c r="A834" s="37" t="str">
        <f>IF(Table1[[#This Row],[Tipo de Servicio]]="","",Caratula!$D$15)</f>
        <v/>
      </c>
      <c r="B834" s="37" t="str">
        <f>IF(Table1[[#This Row],[Tipo de Servicio]]="","",Caratula!$D$16)</f>
        <v/>
      </c>
      <c r="C834" s="24" t="str">
        <f>IF(Table1[[#This Row],[Tipo de Servicio]]="","",Caratula!$D$17)</f>
        <v/>
      </c>
      <c r="D834" s="38" t="str">
        <f>IF(ISBLANK(Table1[[#This Row],[Tipo de Servicio]]),"",Caratula!$D$16)</f>
        <v/>
      </c>
      <c r="F834" t="str">
        <f>_xlfn.XLOOKUP(Table1[[#This Row],[SelGZ]]&amp;Table1[[#This Row],[Tipo de Servicio]],CatPEP!A:A,CatPEP!C:C,"")</f>
        <v/>
      </c>
      <c r="G834" t="str">
        <f>_xlfn.XLOOKUP(Table1[[#This Row],[PEP]],CatPEP!C:C,CatPEP!D:D,"")</f>
        <v/>
      </c>
      <c r="O834" s="53">
        <f>SUMIF('Registro Refacciones'!B:B, I834, 'Registro Refacciones'!I:I)</f>
        <v>0</v>
      </c>
      <c r="P834" s="26">
        <f>Table1[[#This Row],[Costo Servicio]]+Table1[[#This Row],[Refacciones]]</f>
        <v>0</v>
      </c>
      <c r="Q834" s="26"/>
    </row>
    <row r="835" spans="1:17">
      <c r="A835" s="37" t="str">
        <f>IF(Table1[[#This Row],[Tipo de Servicio]]="","",Caratula!$D$15)</f>
        <v/>
      </c>
      <c r="B835" s="37" t="str">
        <f>IF(Table1[[#This Row],[Tipo de Servicio]]="","",Caratula!$D$16)</f>
        <v/>
      </c>
      <c r="C835" s="24" t="str">
        <f>IF(Table1[[#This Row],[Tipo de Servicio]]="","",Caratula!$D$17)</f>
        <v/>
      </c>
      <c r="D835" s="38" t="str">
        <f>IF(ISBLANK(Table1[[#This Row],[Tipo de Servicio]]),"",Caratula!$D$16)</f>
        <v/>
      </c>
      <c r="F835" t="str">
        <f>_xlfn.XLOOKUP(Table1[[#This Row],[SelGZ]]&amp;Table1[[#This Row],[Tipo de Servicio]],CatPEP!A:A,CatPEP!C:C,"")</f>
        <v/>
      </c>
      <c r="G835" t="str">
        <f>_xlfn.XLOOKUP(Table1[[#This Row],[PEP]],CatPEP!C:C,CatPEP!D:D,"")</f>
        <v/>
      </c>
      <c r="O835" s="53">
        <f>SUMIF('Registro Refacciones'!B:B, I835, 'Registro Refacciones'!I:I)</f>
        <v>0</v>
      </c>
      <c r="P835" s="26">
        <f>Table1[[#This Row],[Costo Servicio]]+Table1[[#This Row],[Refacciones]]</f>
        <v>0</v>
      </c>
      <c r="Q835" s="26"/>
    </row>
    <row r="836" spans="1:17">
      <c r="A836" s="37" t="str">
        <f>IF(Table1[[#This Row],[Tipo de Servicio]]="","",Caratula!$D$15)</f>
        <v/>
      </c>
      <c r="B836" s="37" t="str">
        <f>IF(Table1[[#This Row],[Tipo de Servicio]]="","",Caratula!$D$16)</f>
        <v/>
      </c>
      <c r="C836" s="24" t="str">
        <f>IF(Table1[[#This Row],[Tipo de Servicio]]="","",Caratula!$D$17)</f>
        <v/>
      </c>
      <c r="D836" s="38" t="str">
        <f>IF(ISBLANK(Table1[[#This Row],[Tipo de Servicio]]),"",Caratula!$D$16)</f>
        <v/>
      </c>
      <c r="F836" t="str">
        <f>_xlfn.XLOOKUP(Table1[[#This Row],[SelGZ]]&amp;Table1[[#This Row],[Tipo de Servicio]],CatPEP!A:A,CatPEP!C:C,"")</f>
        <v/>
      </c>
      <c r="G836" t="str">
        <f>_xlfn.XLOOKUP(Table1[[#This Row],[PEP]],CatPEP!C:C,CatPEP!D:D,"")</f>
        <v/>
      </c>
      <c r="O836" s="53">
        <f>SUMIF('Registro Refacciones'!B:B, I836, 'Registro Refacciones'!I:I)</f>
        <v>0</v>
      </c>
      <c r="P836" s="26">
        <f>Table1[[#This Row],[Costo Servicio]]+Table1[[#This Row],[Refacciones]]</f>
        <v>0</v>
      </c>
      <c r="Q836" s="26"/>
    </row>
    <row r="837" spans="1:17">
      <c r="A837" s="37" t="str">
        <f>IF(Table1[[#This Row],[Tipo de Servicio]]="","",Caratula!$D$15)</f>
        <v/>
      </c>
      <c r="B837" s="37" t="str">
        <f>IF(Table1[[#This Row],[Tipo de Servicio]]="","",Caratula!$D$16)</f>
        <v/>
      </c>
      <c r="C837" s="24" t="str">
        <f>IF(Table1[[#This Row],[Tipo de Servicio]]="","",Caratula!$D$17)</f>
        <v/>
      </c>
      <c r="D837" s="38" t="str">
        <f>IF(ISBLANK(Table1[[#This Row],[Tipo de Servicio]]),"",Caratula!$D$16)</f>
        <v/>
      </c>
      <c r="F837" t="str">
        <f>_xlfn.XLOOKUP(Table1[[#This Row],[SelGZ]]&amp;Table1[[#This Row],[Tipo de Servicio]],CatPEP!A:A,CatPEP!C:C,"")</f>
        <v/>
      </c>
      <c r="G837" t="str">
        <f>_xlfn.XLOOKUP(Table1[[#This Row],[PEP]],CatPEP!C:C,CatPEP!D:D,"")</f>
        <v/>
      </c>
      <c r="O837" s="53">
        <f>SUMIF('Registro Refacciones'!B:B, I837, 'Registro Refacciones'!I:I)</f>
        <v>0</v>
      </c>
      <c r="P837" s="26">
        <f>Table1[[#This Row],[Costo Servicio]]+Table1[[#This Row],[Refacciones]]</f>
        <v>0</v>
      </c>
      <c r="Q837" s="26"/>
    </row>
    <row r="838" spans="1:17">
      <c r="A838" s="37" t="str">
        <f>IF(Table1[[#This Row],[Tipo de Servicio]]="","",Caratula!$D$15)</f>
        <v/>
      </c>
      <c r="B838" s="37" t="str">
        <f>IF(Table1[[#This Row],[Tipo de Servicio]]="","",Caratula!$D$16)</f>
        <v/>
      </c>
      <c r="C838" s="24" t="str">
        <f>IF(Table1[[#This Row],[Tipo de Servicio]]="","",Caratula!$D$17)</f>
        <v/>
      </c>
      <c r="D838" s="38" t="str">
        <f>IF(ISBLANK(Table1[[#This Row],[Tipo de Servicio]]),"",Caratula!$D$16)</f>
        <v/>
      </c>
      <c r="F838" t="str">
        <f>_xlfn.XLOOKUP(Table1[[#This Row],[SelGZ]]&amp;Table1[[#This Row],[Tipo de Servicio]],CatPEP!A:A,CatPEP!C:C,"")</f>
        <v/>
      </c>
      <c r="G838" t="str">
        <f>_xlfn.XLOOKUP(Table1[[#This Row],[PEP]],CatPEP!C:C,CatPEP!D:D,"")</f>
        <v/>
      </c>
      <c r="O838" s="53">
        <f>SUMIF('Registro Refacciones'!B:B, I838, 'Registro Refacciones'!I:I)</f>
        <v>0</v>
      </c>
      <c r="P838" s="26">
        <f>Table1[[#This Row],[Costo Servicio]]+Table1[[#This Row],[Refacciones]]</f>
        <v>0</v>
      </c>
      <c r="Q838" s="26"/>
    </row>
    <row r="839" spans="1:17">
      <c r="A839" s="37" t="str">
        <f>IF(Table1[[#This Row],[Tipo de Servicio]]="","",Caratula!$D$15)</f>
        <v/>
      </c>
      <c r="B839" s="37" t="str">
        <f>IF(Table1[[#This Row],[Tipo de Servicio]]="","",Caratula!$D$16)</f>
        <v/>
      </c>
      <c r="C839" s="24" t="str">
        <f>IF(Table1[[#This Row],[Tipo de Servicio]]="","",Caratula!$D$17)</f>
        <v/>
      </c>
      <c r="D839" s="38" t="str">
        <f>IF(ISBLANK(Table1[[#This Row],[Tipo de Servicio]]),"",Caratula!$D$16)</f>
        <v/>
      </c>
      <c r="F839" t="str">
        <f>_xlfn.XLOOKUP(Table1[[#This Row],[SelGZ]]&amp;Table1[[#This Row],[Tipo de Servicio]],CatPEP!A:A,CatPEP!C:C,"")</f>
        <v/>
      </c>
      <c r="G839" t="str">
        <f>_xlfn.XLOOKUP(Table1[[#This Row],[PEP]],CatPEP!C:C,CatPEP!D:D,"")</f>
        <v/>
      </c>
      <c r="O839" s="53">
        <f>SUMIF('Registro Refacciones'!B:B, I839, 'Registro Refacciones'!I:I)</f>
        <v>0</v>
      </c>
      <c r="P839" s="26">
        <f>Table1[[#This Row],[Costo Servicio]]+Table1[[#This Row],[Refacciones]]</f>
        <v>0</v>
      </c>
      <c r="Q839" s="26"/>
    </row>
    <row r="840" spans="1:17">
      <c r="A840" s="37" t="str">
        <f>IF(Table1[[#This Row],[Tipo de Servicio]]="","",Caratula!$D$15)</f>
        <v/>
      </c>
      <c r="B840" s="37" t="str">
        <f>IF(Table1[[#This Row],[Tipo de Servicio]]="","",Caratula!$D$16)</f>
        <v/>
      </c>
      <c r="C840" s="24" t="str">
        <f>IF(Table1[[#This Row],[Tipo de Servicio]]="","",Caratula!$D$17)</f>
        <v/>
      </c>
      <c r="D840" s="38" t="str">
        <f>IF(ISBLANK(Table1[[#This Row],[Tipo de Servicio]]),"",Caratula!$D$16)</f>
        <v/>
      </c>
      <c r="F840" t="str">
        <f>_xlfn.XLOOKUP(Table1[[#This Row],[SelGZ]]&amp;Table1[[#This Row],[Tipo de Servicio]],CatPEP!A:A,CatPEP!C:C,"")</f>
        <v/>
      </c>
      <c r="G840" t="str">
        <f>_xlfn.XLOOKUP(Table1[[#This Row],[PEP]],CatPEP!C:C,CatPEP!D:D,"")</f>
        <v/>
      </c>
      <c r="O840" s="53">
        <f>SUMIF('Registro Refacciones'!B:B, I840, 'Registro Refacciones'!I:I)</f>
        <v>0</v>
      </c>
      <c r="P840" s="26">
        <f>Table1[[#This Row],[Costo Servicio]]+Table1[[#This Row],[Refacciones]]</f>
        <v>0</v>
      </c>
      <c r="Q840" s="26"/>
    </row>
    <row r="841" spans="1:17">
      <c r="A841" s="37" t="str">
        <f>IF(Table1[[#This Row],[Tipo de Servicio]]="","",Caratula!$D$15)</f>
        <v/>
      </c>
      <c r="B841" s="37" t="str">
        <f>IF(Table1[[#This Row],[Tipo de Servicio]]="","",Caratula!$D$16)</f>
        <v/>
      </c>
      <c r="C841" s="24" t="str">
        <f>IF(Table1[[#This Row],[Tipo de Servicio]]="","",Caratula!$D$17)</f>
        <v/>
      </c>
      <c r="D841" s="38" t="str">
        <f>IF(ISBLANK(Table1[[#This Row],[Tipo de Servicio]]),"",Caratula!$D$16)</f>
        <v/>
      </c>
      <c r="F841" t="str">
        <f>_xlfn.XLOOKUP(Table1[[#This Row],[SelGZ]]&amp;Table1[[#This Row],[Tipo de Servicio]],CatPEP!A:A,CatPEP!C:C,"")</f>
        <v/>
      </c>
      <c r="G841" t="str">
        <f>_xlfn.XLOOKUP(Table1[[#This Row],[PEP]],CatPEP!C:C,CatPEP!D:D,"")</f>
        <v/>
      </c>
      <c r="O841" s="53">
        <f>SUMIF('Registro Refacciones'!B:B, I841, 'Registro Refacciones'!I:I)</f>
        <v>0</v>
      </c>
      <c r="P841" s="26">
        <f>Table1[[#This Row],[Costo Servicio]]+Table1[[#This Row],[Refacciones]]</f>
        <v>0</v>
      </c>
      <c r="Q841" s="26"/>
    </row>
    <row r="842" spans="1:17">
      <c r="A842" s="37" t="str">
        <f>IF(Table1[[#This Row],[Tipo de Servicio]]="","",Caratula!$D$15)</f>
        <v/>
      </c>
      <c r="B842" s="37" t="str">
        <f>IF(Table1[[#This Row],[Tipo de Servicio]]="","",Caratula!$D$16)</f>
        <v/>
      </c>
      <c r="C842" s="24" t="str">
        <f>IF(Table1[[#This Row],[Tipo de Servicio]]="","",Caratula!$D$17)</f>
        <v/>
      </c>
      <c r="D842" s="38" t="str">
        <f>IF(ISBLANK(Table1[[#This Row],[Tipo de Servicio]]),"",Caratula!$D$16)</f>
        <v/>
      </c>
      <c r="F842" t="str">
        <f>_xlfn.XLOOKUP(Table1[[#This Row],[SelGZ]]&amp;Table1[[#This Row],[Tipo de Servicio]],CatPEP!A:A,CatPEP!C:C,"")</f>
        <v/>
      </c>
      <c r="G842" t="str">
        <f>_xlfn.XLOOKUP(Table1[[#This Row],[PEP]],CatPEP!C:C,CatPEP!D:D,"")</f>
        <v/>
      </c>
      <c r="O842" s="53">
        <f>SUMIF('Registro Refacciones'!B:B, I842, 'Registro Refacciones'!I:I)</f>
        <v>0</v>
      </c>
      <c r="P842" s="26">
        <f>Table1[[#This Row],[Costo Servicio]]+Table1[[#This Row],[Refacciones]]</f>
        <v>0</v>
      </c>
      <c r="Q842" s="26"/>
    </row>
    <row r="843" spans="1:17">
      <c r="A843" s="37" t="str">
        <f>IF(Table1[[#This Row],[Tipo de Servicio]]="","",Caratula!$D$15)</f>
        <v/>
      </c>
      <c r="B843" s="37" t="str">
        <f>IF(Table1[[#This Row],[Tipo de Servicio]]="","",Caratula!$D$16)</f>
        <v/>
      </c>
      <c r="C843" s="24" t="str">
        <f>IF(Table1[[#This Row],[Tipo de Servicio]]="","",Caratula!$D$17)</f>
        <v/>
      </c>
      <c r="D843" s="38" t="str">
        <f>IF(ISBLANK(Table1[[#This Row],[Tipo de Servicio]]),"",Caratula!$D$16)</f>
        <v/>
      </c>
      <c r="F843" t="str">
        <f>_xlfn.XLOOKUP(Table1[[#This Row],[SelGZ]]&amp;Table1[[#This Row],[Tipo de Servicio]],CatPEP!A:A,CatPEP!C:C,"")</f>
        <v/>
      </c>
      <c r="G843" t="str">
        <f>_xlfn.XLOOKUP(Table1[[#This Row],[PEP]],CatPEP!C:C,CatPEP!D:D,"")</f>
        <v/>
      </c>
      <c r="O843" s="53">
        <f>SUMIF('Registro Refacciones'!B:B, I843, 'Registro Refacciones'!I:I)</f>
        <v>0</v>
      </c>
      <c r="P843" s="26">
        <f>Table1[[#This Row],[Costo Servicio]]+Table1[[#This Row],[Refacciones]]</f>
        <v>0</v>
      </c>
      <c r="Q843" s="26"/>
    </row>
    <row r="844" spans="1:17">
      <c r="A844" s="37" t="str">
        <f>IF(Table1[[#This Row],[Tipo de Servicio]]="","",Caratula!$D$15)</f>
        <v/>
      </c>
      <c r="B844" s="37" t="str">
        <f>IF(Table1[[#This Row],[Tipo de Servicio]]="","",Caratula!$D$16)</f>
        <v/>
      </c>
      <c r="C844" s="24" t="str">
        <f>IF(Table1[[#This Row],[Tipo de Servicio]]="","",Caratula!$D$17)</f>
        <v/>
      </c>
      <c r="D844" s="38" t="str">
        <f>IF(ISBLANK(Table1[[#This Row],[Tipo de Servicio]]),"",Caratula!$D$16)</f>
        <v/>
      </c>
      <c r="F844" t="str">
        <f>_xlfn.XLOOKUP(Table1[[#This Row],[SelGZ]]&amp;Table1[[#This Row],[Tipo de Servicio]],CatPEP!A:A,CatPEP!C:C,"")</f>
        <v/>
      </c>
      <c r="G844" t="str">
        <f>_xlfn.XLOOKUP(Table1[[#This Row],[PEP]],CatPEP!C:C,CatPEP!D:D,"")</f>
        <v/>
      </c>
      <c r="O844" s="53">
        <f>SUMIF('Registro Refacciones'!B:B, I844, 'Registro Refacciones'!I:I)</f>
        <v>0</v>
      </c>
      <c r="P844" s="26">
        <f>Table1[[#This Row],[Costo Servicio]]+Table1[[#This Row],[Refacciones]]</f>
        <v>0</v>
      </c>
      <c r="Q844" s="26"/>
    </row>
    <row r="845" spans="1:17">
      <c r="A845" s="37" t="str">
        <f>IF(Table1[[#This Row],[Tipo de Servicio]]="","",Caratula!$D$15)</f>
        <v/>
      </c>
      <c r="B845" s="37" t="str">
        <f>IF(Table1[[#This Row],[Tipo de Servicio]]="","",Caratula!$D$16)</f>
        <v/>
      </c>
      <c r="C845" s="24" t="str">
        <f>IF(Table1[[#This Row],[Tipo de Servicio]]="","",Caratula!$D$17)</f>
        <v/>
      </c>
      <c r="D845" s="38" t="str">
        <f>IF(ISBLANK(Table1[[#This Row],[Tipo de Servicio]]),"",Caratula!$D$16)</f>
        <v/>
      </c>
      <c r="F845" t="str">
        <f>_xlfn.XLOOKUP(Table1[[#This Row],[SelGZ]]&amp;Table1[[#This Row],[Tipo de Servicio]],CatPEP!A:A,CatPEP!C:C,"")</f>
        <v/>
      </c>
      <c r="G845" t="str">
        <f>_xlfn.XLOOKUP(Table1[[#This Row],[PEP]],CatPEP!C:C,CatPEP!D:D,"")</f>
        <v/>
      </c>
      <c r="O845" s="53">
        <f>SUMIF('Registro Refacciones'!B:B, I845, 'Registro Refacciones'!I:I)</f>
        <v>0</v>
      </c>
      <c r="P845" s="26">
        <f>Table1[[#This Row],[Costo Servicio]]+Table1[[#This Row],[Refacciones]]</f>
        <v>0</v>
      </c>
      <c r="Q845" s="26"/>
    </row>
    <row r="846" spans="1:17">
      <c r="A846" s="37" t="str">
        <f>IF(Table1[[#This Row],[Tipo de Servicio]]="","",Caratula!$D$15)</f>
        <v/>
      </c>
      <c r="B846" s="37" t="str">
        <f>IF(Table1[[#This Row],[Tipo de Servicio]]="","",Caratula!$D$16)</f>
        <v/>
      </c>
      <c r="C846" s="24" t="str">
        <f>IF(Table1[[#This Row],[Tipo de Servicio]]="","",Caratula!$D$17)</f>
        <v/>
      </c>
      <c r="D846" s="38" t="str">
        <f>IF(ISBLANK(Table1[[#This Row],[Tipo de Servicio]]),"",Caratula!$D$16)</f>
        <v/>
      </c>
      <c r="F846" t="str">
        <f>_xlfn.XLOOKUP(Table1[[#This Row],[SelGZ]]&amp;Table1[[#This Row],[Tipo de Servicio]],CatPEP!A:A,CatPEP!C:C,"")</f>
        <v/>
      </c>
      <c r="G846" t="str">
        <f>_xlfn.XLOOKUP(Table1[[#This Row],[PEP]],CatPEP!C:C,CatPEP!D:D,"")</f>
        <v/>
      </c>
      <c r="O846" s="53">
        <f>SUMIF('Registro Refacciones'!B:B, I846, 'Registro Refacciones'!I:I)</f>
        <v>0</v>
      </c>
      <c r="P846" s="26">
        <f>Table1[[#This Row],[Costo Servicio]]+Table1[[#This Row],[Refacciones]]</f>
        <v>0</v>
      </c>
      <c r="Q846" s="26"/>
    </row>
    <row r="847" spans="1:17">
      <c r="A847" s="37" t="str">
        <f>IF(Table1[[#This Row],[Tipo de Servicio]]="","",Caratula!$D$15)</f>
        <v/>
      </c>
      <c r="B847" s="37" t="str">
        <f>IF(Table1[[#This Row],[Tipo de Servicio]]="","",Caratula!$D$16)</f>
        <v/>
      </c>
      <c r="C847" s="24" t="str">
        <f>IF(Table1[[#This Row],[Tipo de Servicio]]="","",Caratula!$D$17)</f>
        <v/>
      </c>
      <c r="D847" s="38" t="str">
        <f>IF(ISBLANK(Table1[[#This Row],[Tipo de Servicio]]),"",Caratula!$D$16)</f>
        <v/>
      </c>
      <c r="F847" t="str">
        <f>_xlfn.XLOOKUP(Table1[[#This Row],[SelGZ]]&amp;Table1[[#This Row],[Tipo de Servicio]],CatPEP!A:A,CatPEP!C:C,"")</f>
        <v/>
      </c>
      <c r="G847" t="str">
        <f>_xlfn.XLOOKUP(Table1[[#This Row],[PEP]],CatPEP!C:C,CatPEP!D:D,"")</f>
        <v/>
      </c>
      <c r="O847" s="53">
        <f>SUMIF('Registro Refacciones'!B:B, I847, 'Registro Refacciones'!I:I)</f>
        <v>0</v>
      </c>
      <c r="P847" s="26">
        <f>Table1[[#This Row],[Costo Servicio]]+Table1[[#This Row],[Refacciones]]</f>
        <v>0</v>
      </c>
      <c r="Q847" s="26"/>
    </row>
    <row r="848" spans="1:17">
      <c r="A848" s="37" t="str">
        <f>IF(Table1[[#This Row],[Tipo de Servicio]]="","",Caratula!$D$15)</f>
        <v/>
      </c>
      <c r="B848" s="37" t="str">
        <f>IF(Table1[[#This Row],[Tipo de Servicio]]="","",Caratula!$D$16)</f>
        <v/>
      </c>
      <c r="C848" s="24" t="str">
        <f>IF(Table1[[#This Row],[Tipo de Servicio]]="","",Caratula!$D$17)</f>
        <v/>
      </c>
      <c r="D848" s="38" t="str">
        <f>IF(ISBLANK(Table1[[#This Row],[Tipo de Servicio]]),"",Caratula!$D$16)</f>
        <v/>
      </c>
      <c r="F848" t="str">
        <f>_xlfn.XLOOKUP(Table1[[#This Row],[SelGZ]]&amp;Table1[[#This Row],[Tipo de Servicio]],CatPEP!A:A,CatPEP!C:C,"")</f>
        <v/>
      </c>
      <c r="G848" t="str">
        <f>_xlfn.XLOOKUP(Table1[[#This Row],[PEP]],CatPEP!C:C,CatPEP!D:D,"")</f>
        <v/>
      </c>
      <c r="O848" s="53">
        <f>SUMIF('Registro Refacciones'!B:B, I848, 'Registro Refacciones'!I:I)</f>
        <v>0</v>
      </c>
      <c r="P848" s="26">
        <f>Table1[[#This Row],[Costo Servicio]]+Table1[[#This Row],[Refacciones]]</f>
        <v>0</v>
      </c>
      <c r="Q848" s="26"/>
    </row>
    <row r="849" spans="1:17">
      <c r="A849" s="37" t="str">
        <f>IF(Table1[[#This Row],[Tipo de Servicio]]="","",Caratula!$D$15)</f>
        <v/>
      </c>
      <c r="B849" s="37" t="str">
        <f>IF(Table1[[#This Row],[Tipo de Servicio]]="","",Caratula!$D$16)</f>
        <v/>
      </c>
      <c r="C849" s="24" t="str">
        <f>IF(Table1[[#This Row],[Tipo de Servicio]]="","",Caratula!$D$17)</f>
        <v/>
      </c>
      <c r="D849" s="38" t="str">
        <f>IF(ISBLANK(Table1[[#This Row],[Tipo de Servicio]]),"",Caratula!$D$16)</f>
        <v/>
      </c>
      <c r="F849" t="str">
        <f>_xlfn.XLOOKUP(Table1[[#This Row],[SelGZ]]&amp;Table1[[#This Row],[Tipo de Servicio]],CatPEP!A:A,CatPEP!C:C,"")</f>
        <v/>
      </c>
      <c r="G849" t="str">
        <f>_xlfn.XLOOKUP(Table1[[#This Row],[PEP]],CatPEP!C:C,CatPEP!D:D,"")</f>
        <v/>
      </c>
      <c r="O849" s="53">
        <f>SUMIF('Registro Refacciones'!B:B, I849, 'Registro Refacciones'!I:I)</f>
        <v>0</v>
      </c>
      <c r="P849" s="26">
        <f>Table1[[#This Row],[Costo Servicio]]+Table1[[#This Row],[Refacciones]]</f>
        <v>0</v>
      </c>
      <c r="Q849" s="26"/>
    </row>
    <row r="850" spans="1:17">
      <c r="A850" s="37" t="str">
        <f>IF(Table1[[#This Row],[Tipo de Servicio]]="","",Caratula!$D$15)</f>
        <v/>
      </c>
      <c r="B850" s="37" t="str">
        <f>IF(Table1[[#This Row],[Tipo de Servicio]]="","",Caratula!$D$16)</f>
        <v/>
      </c>
      <c r="C850" s="24" t="str">
        <f>IF(Table1[[#This Row],[Tipo de Servicio]]="","",Caratula!$D$17)</f>
        <v/>
      </c>
      <c r="D850" s="38" t="str">
        <f>IF(ISBLANK(Table1[[#This Row],[Tipo de Servicio]]),"",Caratula!$D$16)</f>
        <v/>
      </c>
      <c r="F850" t="str">
        <f>_xlfn.XLOOKUP(Table1[[#This Row],[SelGZ]]&amp;Table1[[#This Row],[Tipo de Servicio]],CatPEP!A:A,CatPEP!C:C,"")</f>
        <v/>
      </c>
      <c r="G850" t="str">
        <f>_xlfn.XLOOKUP(Table1[[#This Row],[PEP]],CatPEP!C:C,CatPEP!D:D,"")</f>
        <v/>
      </c>
      <c r="O850" s="53">
        <f>SUMIF('Registro Refacciones'!B:B, I850, 'Registro Refacciones'!I:I)</f>
        <v>0</v>
      </c>
      <c r="P850" s="26">
        <f>Table1[[#This Row],[Costo Servicio]]+Table1[[#This Row],[Refacciones]]</f>
        <v>0</v>
      </c>
      <c r="Q850" s="26"/>
    </row>
    <row r="851" spans="1:17">
      <c r="A851" s="37" t="str">
        <f>IF(Table1[[#This Row],[Tipo de Servicio]]="","",Caratula!$D$15)</f>
        <v/>
      </c>
      <c r="B851" s="37" t="str">
        <f>IF(Table1[[#This Row],[Tipo de Servicio]]="","",Caratula!$D$16)</f>
        <v/>
      </c>
      <c r="C851" s="24" t="str">
        <f>IF(Table1[[#This Row],[Tipo de Servicio]]="","",Caratula!$D$17)</f>
        <v/>
      </c>
      <c r="D851" s="38" t="str">
        <f>IF(ISBLANK(Table1[[#This Row],[Tipo de Servicio]]),"",Caratula!$D$16)</f>
        <v/>
      </c>
      <c r="F851" t="str">
        <f>_xlfn.XLOOKUP(Table1[[#This Row],[SelGZ]]&amp;Table1[[#This Row],[Tipo de Servicio]],CatPEP!A:A,CatPEP!C:C,"")</f>
        <v/>
      </c>
      <c r="G851" t="str">
        <f>_xlfn.XLOOKUP(Table1[[#This Row],[PEP]],CatPEP!C:C,CatPEP!D:D,"")</f>
        <v/>
      </c>
      <c r="O851" s="53">
        <f>SUMIF('Registro Refacciones'!B:B, I851, 'Registro Refacciones'!I:I)</f>
        <v>0</v>
      </c>
      <c r="P851" s="26">
        <f>Table1[[#This Row],[Costo Servicio]]+Table1[[#This Row],[Refacciones]]</f>
        <v>0</v>
      </c>
      <c r="Q851" s="26"/>
    </row>
    <row r="852" spans="1:17">
      <c r="A852" s="37" t="str">
        <f>IF(Table1[[#This Row],[Tipo de Servicio]]="","",Caratula!$D$15)</f>
        <v/>
      </c>
      <c r="B852" s="37" t="str">
        <f>IF(Table1[[#This Row],[Tipo de Servicio]]="","",Caratula!$D$16)</f>
        <v/>
      </c>
      <c r="C852" s="24" t="str">
        <f>IF(Table1[[#This Row],[Tipo de Servicio]]="","",Caratula!$D$17)</f>
        <v/>
      </c>
      <c r="D852" s="38" t="str">
        <f>IF(ISBLANK(Table1[[#This Row],[Tipo de Servicio]]),"",Caratula!$D$16)</f>
        <v/>
      </c>
      <c r="F852" t="str">
        <f>_xlfn.XLOOKUP(Table1[[#This Row],[SelGZ]]&amp;Table1[[#This Row],[Tipo de Servicio]],CatPEP!A:A,CatPEP!C:C,"")</f>
        <v/>
      </c>
      <c r="G852" t="str">
        <f>_xlfn.XLOOKUP(Table1[[#This Row],[PEP]],CatPEP!C:C,CatPEP!D:D,"")</f>
        <v/>
      </c>
      <c r="O852" s="53">
        <f>SUMIF('Registro Refacciones'!B:B, I852, 'Registro Refacciones'!I:I)</f>
        <v>0</v>
      </c>
      <c r="P852" s="26">
        <f>Table1[[#This Row],[Costo Servicio]]+Table1[[#This Row],[Refacciones]]</f>
        <v>0</v>
      </c>
      <c r="Q852" s="26"/>
    </row>
    <row r="853" spans="1:17">
      <c r="A853" s="37" t="str">
        <f>IF(Table1[[#This Row],[Tipo de Servicio]]="","",Caratula!$D$15)</f>
        <v/>
      </c>
      <c r="B853" s="37" t="str">
        <f>IF(Table1[[#This Row],[Tipo de Servicio]]="","",Caratula!$D$16)</f>
        <v/>
      </c>
      <c r="C853" s="24" t="str">
        <f>IF(Table1[[#This Row],[Tipo de Servicio]]="","",Caratula!$D$17)</f>
        <v/>
      </c>
      <c r="D853" s="38" t="str">
        <f>IF(ISBLANK(Table1[[#This Row],[Tipo de Servicio]]),"",Caratula!$D$16)</f>
        <v/>
      </c>
      <c r="F853" t="str">
        <f>_xlfn.XLOOKUP(Table1[[#This Row],[SelGZ]]&amp;Table1[[#This Row],[Tipo de Servicio]],CatPEP!A:A,CatPEP!C:C,"")</f>
        <v/>
      </c>
      <c r="G853" t="str">
        <f>_xlfn.XLOOKUP(Table1[[#This Row],[PEP]],CatPEP!C:C,CatPEP!D:D,"")</f>
        <v/>
      </c>
      <c r="O853" s="53">
        <f>SUMIF('Registro Refacciones'!B:B, I853, 'Registro Refacciones'!I:I)</f>
        <v>0</v>
      </c>
      <c r="P853" s="26">
        <f>Table1[[#This Row],[Costo Servicio]]+Table1[[#This Row],[Refacciones]]</f>
        <v>0</v>
      </c>
      <c r="Q853" s="26"/>
    </row>
    <row r="854" spans="1:17">
      <c r="A854" s="37" t="str">
        <f>IF(Table1[[#This Row],[Tipo de Servicio]]="","",Caratula!$D$15)</f>
        <v/>
      </c>
      <c r="B854" s="37" t="str">
        <f>IF(Table1[[#This Row],[Tipo de Servicio]]="","",Caratula!$D$16)</f>
        <v/>
      </c>
      <c r="C854" s="24" t="str">
        <f>IF(Table1[[#This Row],[Tipo de Servicio]]="","",Caratula!$D$17)</f>
        <v/>
      </c>
      <c r="D854" s="38" t="str">
        <f>IF(ISBLANK(Table1[[#This Row],[Tipo de Servicio]]),"",Caratula!$D$16)</f>
        <v/>
      </c>
      <c r="F854" t="str">
        <f>_xlfn.XLOOKUP(Table1[[#This Row],[SelGZ]]&amp;Table1[[#This Row],[Tipo de Servicio]],CatPEP!A:A,CatPEP!C:C,"")</f>
        <v/>
      </c>
      <c r="G854" t="str">
        <f>_xlfn.XLOOKUP(Table1[[#This Row],[PEP]],CatPEP!C:C,CatPEP!D:D,"")</f>
        <v/>
      </c>
      <c r="O854" s="53">
        <f>SUMIF('Registro Refacciones'!B:B, I854, 'Registro Refacciones'!I:I)</f>
        <v>0</v>
      </c>
      <c r="P854" s="26">
        <f>Table1[[#This Row],[Costo Servicio]]+Table1[[#This Row],[Refacciones]]</f>
        <v>0</v>
      </c>
      <c r="Q854" s="26"/>
    </row>
    <row r="855" spans="1:17">
      <c r="A855" s="37" t="str">
        <f>IF(Table1[[#This Row],[Tipo de Servicio]]="","",Caratula!$D$15)</f>
        <v/>
      </c>
      <c r="B855" s="37" t="str">
        <f>IF(Table1[[#This Row],[Tipo de Servicio]]="","",Caratula!$D$16)</f>
        <v/>
      </c>
      <c r="C855" s="24" t="str">
        <f>IF(Table1[[#This Row],[Tipo de Servicio]]="","",Caratula!$D$17)</f>
        <v/>
      </c>
      <c r="D855" s="38" t="str">
        <f>IF(ISBLANK(Table1[[#This Row],[Tipo de Servicio]]),"",Caratula!$D$16)</f>
        <v/>
      </c>
      <c r="F855" t="str">
        <f>_xlfn.XLOOKUP(Table1[[#This Row],[SelGZ]]&amp;Table1[[#This Row],[Tipo de Servicio]],CatPEP!A:A,CatPEP!C:C,"")</f>
        <v/>
      </c>
      <c r="G855" t="str">
        <f>_xlfn.XLOOKUP(Table1[[#This Row],[PEP]],CatPEP!C:C,CatPEP!D:D,"")</f>
        <v/>
      </c>
      <c r="O855" s="53">
        <f>SUMIF('Registro Refacciones'!B:B, I855, 'Registro Refacciones'!I:I)</f>
        <v>0</v>
      </c>
      <c r="P855" s="26">
        <f>Table1[[#This Row],[Costo Servicio]]+Table1[[#This Row],[Refacciones]]</f>
        <v>0</v>
      </c>
      <c r="Q855" s="26"/>
    </row>
    <row r="856" spans="1:17">
      <c r="A856" s="37" t="str">
        <f>IF(Table1[[#This Row],[Tipo de Servicio]]="","",Caratula!$D$15)</f>
        <v/>
      </c>
      <c r="B856" s="37" t="str">
        <f>IF(Table1[[#This Row],[Tipo de Servicio]]="","",Caratula!$D$16)</f>
        <v/>
      </c>
      <c r="C856" s="24" t="str">
        <f>IF(Table1[[#This Row],[Tipo de Servicio]]="","",Caratula!$D$17)</f>
        <v/>
      </c>
      <c r="D856" s="38" t="str">
        <f>IF(ISBLANK(Table1[[#This Row],[Tipo de Servicio]]),"",Caratula!$D$16)</f>
        <v/>
      </c>
      <c r="F856" t="str">
        <f>_xlfn.XLOOKUP(Table1[[#This Row],[SelGZ]]&amp;Table1[[#This Row],[Tipo de Servicio]],CatPEP!A:A,CatPEP!C:C,"")</f>
        <v/>
      </c>
      <c r="G856" t="str">
        <f>_xlfn.XLOOKUP(Table1[[#This Row],[PEP]],CatPEP!C:C,CatPEP!D:D,"")</f>
        <v/>
      </c>
      <c r="O856" s="53">
        <f>SUMIF('Registro Refacciones'!B:B, I856, 'Registro Refacciones'!I:I)</f>
        <v>0</v>
      </c>
      <c r="P856" s="26">
        <f>Table1[[#This Row],[Costo Servicio]]+Table1[[#This Row],[Refacciones]]</f>
        <v>0</v>
      </c>
      <c r="Q856" s="26"/>
    </row>
    <row r="857" spans="1:17">
      <c r="A857" s="37" t="str">
        <f>IF(Table1[[#This Row],[Tipo de Servicio]]="","",Caratula!$D$15)</f>
        <v/>
      </c>
      <c r="B857" s="37" t="str">
        <f>IF(Table1[[#This Row],[Tipo de Servicio]]="","",Caratula!$D$16)</f>
        <v/>
      </c>
      <c r="C857" s="24" t="str">
        <f>IF(Table1[[#This Row],[Tipo de Servicio]]="","",Caratula!$D$17)</f>
        <v/>
      </c>
      <c r="D857" s="38" t="str">
        <f>IF(ISBLANK(Table1[[#This Row],[Tipo de Servicio]]),"",Caratula!$D$16)</f>
        <v/>
      </c>
      <c r="F857" t="str">
        <f>_xlfn.XLOOKUP(Table1[[#This Row],[SelGZ]]&amp;Table1[[#This Row],[Tipo de Servicio]],CatPEP!A:A,CatPEP!C:C,"")</f>
        <v/>
      </c>
      <c r="G857" t="str">
        <f>_xlfn.XLOOKUP(Table1[[#This Row],[PEP]],CatPEP!C:C,CatPEP!D:D,"")</f>
        <v/>
      </c>
      <c r="O857" s="53">
        <f>SUMIF('Registro Refacciones'!B:B, I857, 'Registro Refacciones'!I:I)</f>
        <v>0</v>
      </c>
      <c r="P857" s="26">
        <f>Table1[[#This Row],[Costo Servicio]]+Table1[[#This Row],[Refacciones]]</f>
        <v>0</v>
      </c>
      <c r="Q857" s="26"/>
    </row>
    <row r="858" spans="1:17">
      <c r="A858" s="37" t="str">
        <f>IF(Table1[[#This Row],[Tipo de Servicio]]="","",Caratula!$D$15)</f>
        <v/>
      </c>
      <c r="B858" s="37" t="str">
        <f>IF(Table1[[#This Row],[Tipo de Servicio]]="","",Caratula!$D$16)</f>
        <v/>
      </c>
      <c r="C858" s="24" t="str">
        <f>IF(Table1[[#This Row],[Tipo de Servicio]]="","",Caratula!$D$17)</f>
        <v/>
      </c>
      <c r="D858" s="38" t="str">
        <f>IF(ISBLANK(Table1[[#This Row],[Tipo de Servicio]]),"",Caratula!$D$16)</f>
        <v/>
      </c>
      <c r="F858" t="str">
        <f>_xlfn.XLOOKUP(Table1[[#This Row],[SelGZ]]&amp;Table1[[#This Row],[Tipo de Servicio]],CatPEP!A:A,CatPEP!C:C,"")</f>
        <v/>
      </c>
      <c r="G858" t="str">
        <f>_xlfn.XLOOKUP(Table1[[#This Row],[PEP]],CatPEP!C:C,CatPEP!D:D,"")</f>
        <v/>
      </c>
      <c r="O858" s="53">
        <f>SUMIF('Registro Refacciones'!B:B, I858, 'Registro Refacciones'!I:I)</f>
        <v>0</v>
      </c>
      <c r="P858" s="26">
        <f>Table1[[#This Row],[Costo Servicio]]+Table1[[#This Row],[Refacciones]]</f>
        <v>0</v>
      </c>
      <c r="Q858" s="26"/>
    </row>
    <row r="859" spans="1:17">
      <c r="A859" s="37" t="str">
        <f>IF(Table1[[#This Row],[Tipo de Servicio]]="","",Caratula!$D$15)</f>
        <v/>
      </c>
      <c r="B859" s="37" t="str">
        <f>IF(Table1[[#This Row],[Tipo de Servicio]]="","",Caratula!$D$16)</f>
        <v/>
      </c>
      <c r="C859" s="24" t="str">
        <f>IF(Table1[[#This Row],[Tipo de Servicio]]="","",Caratula!$D$17)</f>
        <v/>
      </c>
      <c r="D859" s="38" t="str">
        <f>IF(ISBLANK(Table1[[#This Row],[Tipo de Servicio]]),"",Caratula!$D$16)</f>
        <v/>
      </c>
      <c r="F859" t="str">
        <f>_xlfn.XLOOKUP(Table1[[#This Row],[SelGZ]]&amp;Table1[[#This Row],[Tipo de Servicio]],CatPEP!A:A,CatPEP!C:C,"")</f>
        <v/>
      </c>
      <c r="G859" t="str">
        <f>_xlfn.XLOOKUP(Table1[[#This Row],[PEP]],CatPEP!C:C,CatPEP!D:D,"")</f>
        <v/>
      </c>
      <c r="O859" s="53">
        <f>SUMIF('Registro Refacciones'!B:B, I859, 'Registro Refacciones'!I:I)</f>
        <v>0</v>
      </c>
      <c r="P859" s="26">
        <f>Table1[[#This Row],[Costo Servicio]]+Table1[[#This Row],[Refacciones]]</f>
        <v>0</v>
      </c>
      <c r="Q859" s="26"/>
    </row>
    <row r="860" spans="1:17">
      <c r="A860" s="37" t="str">
        <f>IF(Table1[[#This Row],[Tipo de Servicio]]="","",Caratula!$D$15)</f>
        <v/>
      </c>
      <c r="B860" s="37" t="str">
        <f>IF(Table1[[#This Row],[Tipo de Servicio]]="","",Caratula!$D$16)</f>
        <v/>
      </c>
      <c r="C860" s="24" t="str">
        <f>IF(Table1[[#This Row],[Tipo de Servicio]]="","",Caratula!$D$17)</f>
        <v/>
      </c>
      <c r="D860" s="38" t="str">
        <f>IF(ISBLANK(Table1[[#This Row],[Tipo de Servicio]]),"",Caratula!$D$16)</f>
        <v/>
      </c>
      <c r="F860" t="str">
        <f>_xlfn.XLOOKUP(Table1[[#This Row],[SelGZ]]&amp;Table1[[#This Row],[Tipo de Servicio]],CatPEP!A:A,CatPEP!C:C,"")</f>
        <v/>
      </c>
      <c r="G860" t="str">
        <f>_xlfn.XLOOKUP(Table1[[#This Row],[PEP]],CatPEP!C:C,CatPEP!D:D,"")</f>
        <v/>
      </c>
      <c r="O860" s="53">
        <f>SUMIF('Registro Refacciones'!B:B, I860, 'Registro Refacciones'!I:I)</f>
        <v>0</v>
      </c>
      <c r="P860" s="26">
        <f>Table1[[#This Row],[Costo Servicio]]+Table1[[#This Row],[Refacciones]]</f>
        <v>0</v>
      </c>
      <c r="Q860" s="26"/>
    </row>
    <row r="861" spans="1:17">
      <c r="A861" s="37" t="str">
        <f>IF(Table1[[#This Row],[Tipo de Servicio]]="","",Caratula!$D$15)</f>
        <v/>
      </c>
      <c r="B861" s="37" t="str">
        <f>IF(Table1[[#This Row],[Tipo de Servicio]]="","",Caratula!$D$16)</f>
        <v/>
      </c>
      <c r="C861" s="24" t="str">
        <f>IF(Table1[[#This Row],[Tipo de Servicio]]="","",Caratula!$D$17)</f>
        <v/>
      </c>
      <c r="D861" s="38" t="str">
        <f>IF(ISBLANK(Table1[[#This Row],[Tipo de Servicio]]),"",Caratula!$D$16)</f>
        <v/>
      </c>
      <c r="F861" t="str">
        <f>_xlfn.XLOOKUP(Table1[[#This Row],[SelGZ]]&amp;Table1[[#This Row],[Tipo de Servicio]],CatPEP!A:A,CatPEP!C:C,"")</f>
        <v/>
      </c>
      <c r="G861" t="str">
        <f>_xlfn.XLOOKUP(Table1[[#This Row],[PEP]],CatPEP!C:C,CatPEP!D:D,"")</f>
        <v/>
      </c>
      <c r="O861" s="53">
        <f>SUMIF('Registro Refacciones'!B:B, I861, 'Registro Refacciones'!I:I)</f>
        <v>0</v>
      </c>
      <c r="P861" s="26">
        <f>Table1[[#This Row],[Costo Servicio]]+Table1[[#This Row],[Refacciones]]</f>
        <v>0</v>
      </c>
      <c r="Q861" s="26"/>
    </row>
    <row r="862" spans="1:17">
      <c r="A862" s="37" t="str">
        <f>IF(Table1[[#This Row],[Tipo de Servicio]]="","",Caratula!$D$15)</f>
        <v/>
      </c>
      <c r="B862" s="37" t="str">
        <f>IF(Table1[[#This Row],[Tipo de Servicio]]="","",Caratula!$D$16)</f>
        <v/>
      </c>
      <c r="C862" s="24" t="str">
        <f>IF(Table1[[#This Row],[Tipo de Servicio]]="","",Caratula!$D$17)</f>
        <v/>
      </c>
      <c r="D862" s="38" t="str">
        <f>IF(ISBLANK(Table1[[#This Row],[Tipo de Servicio]]),"",Caratula!$D$16)</f>
        <v/>
      </c>
      <c r="F862" t="str">
        <f>_xlfn.XLOOKUP(Table1[[#This Row],[SelGZ]]&amp;Table1[[#This Row],[Tipo de Servicio]],CatPEP!A:A,CatPEP!C:C,"")</f>
        <v/>
      </c>
      <c r="G862" t="str">
        <f>_xlfn.XLOOKUP(Table1[[#This Row],[PEP]],CatPEP!C:C,CatPEP!D:D,"")</f>
        <v/>
      </c>
      <c r="O862" s="53">
        <f>SUMIF('Registro Refacciones'!B:B, I862, 'Registro Refacciones'!I:I)</f>
        <v>0</v>
      </c>
      <c r="P862" s="26">
        <f>Table1[[#This Row],[Costo Servicio]]+Table1[[#This Row],[Refacciones]]</f>
        <v>0</v>
      </c>
      <c r="Q862" s="26"/>
    </row>
    <row r="863" spans="1:17">
      <c r="A863" s="37" t="str">
        <f>IF(Table1[[#This Row],[Tipo de Servicio]]="","",Caratula!$D$15)</f>
        <v/>
      </c>
      <c r="B863" s="37" t="str">
        <f>IF(Table1[[#This Row],[Tipo de Servicio]]="","",Caratula!$D$16)</f>
        <v/>
      </c>
      <c r="C863" s="24" t="str">
        <f>IF(Table1[[#This Row],[Tipo de Servicio]]="","",Caratula!$D$17)</f>
        <v/>
      </c>
      <c r="D863" s="38" t="str">
        <f>IF(ISBLANK(Table1[[#This Row],[Tipo de Servicio]]),"",Caratula!$D$16)</f>
        <v/>
      </c>
      <c r="F863" t="str">
        <f>_xlfn.XLOOKUP(Table1[[#This Row],[SelGZ]]&amp;Table1[[#This Row],[Tipo de Servicio]],CatPEP!A:A,CatPEP!C:C,"")</f>
        <v/>
      </c>
      <c r="G863" t="str">
        <f>_xlfn.XLOOKUP(Table1[[#This Row],[PEP]],CatPEP!C:C,CatPEP!D:D,"")</f>
        <v/>
      </c>
      <c r="O863" s="53">
        <f>SUMIF('Registro Refacciones'!B:B, I863, 'Registro Refacciones'!I:I)</f>
        <v>0</v>
      </c>
      <c r="P863" s="26">
        <f>Table1[[#This Row],[Costo Servicio]]+Table1[[#This Row],[Refacciones]]</f>
        <v>0</v>
      </c>
      <c r="Q863" s="26"/>
    </row>
    <row r="864" spans="1:17">
      <c r="A864" s="37" t="str">
        <f>IF(Table1[[#This Row],[Tipo de Servicio]]="","",Caratula!$D$15)</f>
        <v/>
      </c>
      <c r="B864" s="37" t="str">
        <f>IF(Table1[[#This Row],[Tipo de Servicio]]="","",Caratula!$D$16)</f>
        <v/>
      </c>
      <c r="C864" s="24" t="str">
        <f>IF(Table1[[#This Row],[Tipo de Servicio]]="","",Caratula!$D$17)</f>
        <v/>
      </c>
      <c r="D864" s="38" t="str">
        <f>IF(ISBLANK(Table1[[#This Row],[Tipo de Servicio]]),"",Caratula!$D$16)</f>
        <v/>
      </c>
      <c r="F864" t="str">
        <f>_xlfn.XLOOKUP(Table1[[#This Row],[SelGZ]]&amp;Table1[[#This Row],[Tipo de Servicio]],CatPEP!A:A,CatPEP!C:C,"")</f>
        <v/>
      </c>
      <c r="G864" t="str">
        <f>_xlfn.XLOOKUP(Table1[[#This Row],[PEP]],CatPEP!C:C,CatPEP!D:D,"")</f>
        <v/>
      </c>
      <c r="O864" s="53">
        <f>SUMIF('Registro Refacciones'!B:B, I864, 'Registro Refacciones'!I:I)</f>
        <v>0</v>
      </c>
      <c r="P864" s="26">
        <f>Table1[[#This Row],[Costo Servicio]]+Table1[[#This Row],[Refacciones]]</f>
        <v>0</v>
      </c>
      <c r="Q864" s="26"/>
    </row>
    <row r="865" spans="1:17">
      <c r="A865" s="37" t="str">
        <f>IF(Table1[[#This Row],[Tipo de Servicio]]="","",Caratula!$D$15)</f>
        <v/>
      </c>
      <c r="B865" s="37" t="str">
        <f>IF(Table1[[#This Row],[Tipo de Servicio]]="","",Caratula!$D$16)</f>
        <v/>
      </c>
      <c r="C865" s="24" t="str">
        <f>IF(Table1[[#This Row],[Tipo de Servicio]]="","",Caratula!$D$17)</f>
        <v/>
      </c>
      <c r="D865" s="38" t="str">
        <f>IF(ISBLANK(Table1[[#This Row],[Tipo de Servicio]]),"",Caratula!$D$16)</f>
        <v/>
      </c>
      <c r="F865" t="str">
        <f>_xlfn.XLOOKUP(Table1[[#This Row],[SelGZ]]&amp;Table1[[#This Row],[Tipo de Servicio]],CatPEP!A:A,CatPEP!C:C,"")</f>
        <v/>
      </c>
      <c r="G865" t="str">
        <f>_xlfn.XLOOKUP(Table1[[#This Row],[PEP]],CatPEP!C:C,CatPEP!D:D,"")</f>
        <v/>
      </c>
      <c r="O865" s="53">
        <f>SUMIF('Registro Refacciones'!B:B, I865, 'Registro Refacciones'!I:I)</f>
        <v>0</v>
      </c>
      <c r="P865" s="26">
        <f>Table1[[#This Row],[Costo Servicio]]+Table1[[#This Row],[Refacciones]]</f>
        <v>0</v>
      </c>
      <c r="Q865" s="26"/>
    </row>
    <row r="866" spans="1:17">
      <c r="A866" s="37" t="str">
        <f>IF(Table1[[#This Row],[Tipo de Servicio]]="","",Caratula!$D$15)</f>
        <v/>
      </c>
      <c r="B866" s="37" t="str">
        <f>IF(Table1[[#This Row],[Tipo de Servicio]]="","",Caratula!$D$16)</f>
        <v/>
      </c>
      <c r="C866" s="24" t="str">
        <f>IF(Table1[[#This Row],[Tipo de Servicio]]="","",Caratula!$D$17)</f>
        <v/>
      </c>
      <c r="D866" s="38" t="str">
        <f>IF(ISBLANK(Table1[[#This Row],[Tipo de Servicio]]),"",Caratula!$D$16)</f>
        <v/>
      </c>
      <c r="F866" t="str">
        <f>_xlfn.XLOOKUP(Table1[[#This Row],[SelGZ]]&amp;Table1[[#This Row],[Tipo de Servicio]],CatPEP!A:A,CatPEP!C:C,"")</f>
        <v/>
      </c>
      <c r="G866" t="str">
        <f>_xlfn.XLOOKUP(Table1[[#This Row],[PEP]],CatPEP!C:C,CatPEP!D:D,"")</f>
        <v/>
      </c>
      <c r="O866" s="53">
        <f>SUMIF('Registro Refacciones'!B:B, I866, 'Registro Refacciones'!I:I)</f>
        <v>0</v>
      </c>
      <c r="P866" s="26">
        <f>Table1[[#This Row],[Costo Servicio]]+Table1[[#This Row],[Refacciones]]</f>
        <v>0</v>
      </c>
      <c r="Q866" s="26"/>
    </row>
    <row r="867" spans="1:17">
      <c r="A867" s="37" t="str">
        <f>IF(Table1[[#This Row],[Tipo de Servicio]]="","",Caratula!$D$15)</f>
        <v/>
      </c>
      <c r="B867" s="37" t="str">
        <f>IF(Table1[[#This Row],[Tipo de Servicio]]="","",Caratula!$D$16)</f>
        <v/>
      </c>
      <c r="C867" s="24" t="str">
        <f>IF(Table1[[#This Row],[Tipo de Servicio]]="","",Caratula!$D$17)</f>
        <v/>
      </c>
      <c r="D867" s="38" t="str">
        <f>IF(ISBLANK(Table1[[#This Row],[Tipo de Servicio]]),"",Caratula!$D$16)</f>
        <v/>
      </c>
      <c r="F867" t="str">
        <f>_xlfn.XLOOKUP(Table1[[#This Row],[SelGZ]]&amp;Table1[[#This Row],[Tipo de Servicio]],CatPEP!A:A,CatPEP!C:C,"")</f>
        <v/>
      </c>
      <c r="G867" t="str">
        <f>_xlfn.XLOOKUP(Table1[[#This Row],[PEP]],CatPEP!C:C,CatPEP!D:D,"")</f>
        <v/>
      </c>
      <c r="O867" s="53">
        <f>SUMIF('Registro Refacciones'!B:B, I867, 'Registro Refacciones'!I:I)</f>
        <v>0</v>
      </c>
      <c r="P867" s="26">
        <f>Table1[[#This Row],[Costo Servicio]]+Table1[[#This Row],[Refacciones]]</f>
        <v>0</v>
      </c>
      <c r="Q867" s="26"/>
    </row>
    <row r="868" spans="1:17">
      <c r="A868" s="37" t="str">
        <f>IF(Table1[[#This Row],[Tipo de Servicio]]="","",Caratula!$D$15)</f>
        <v/>
      </c>
      <c r="B868" s="37" t="str">
        <f>IF(Table1[[#This Row],[Tipo de Servicio]]="","",Caratula!$D$16)</f>
        <v/>
      </c>
      <c r="C868" s="24" t="str">
        <f>IF(Table1[[#This Row],[Tipo de Servicio]]="","",Caratula!$D$17)</f>
        <v/>
      </c>
      <c r="D868" s="38" t="str">
        <f>IF(ISBLANK(Table1[[#This Row],[Tipo de Servicio]]),"",Caratula!$D$16)</f>
        <v/>
      </c>
      <c r="F868" t="str">
        <f>_xlfn.XLOOKUP(Table1[[#This Row],[SelGZ]]&amp;Table1[[#This Row],[Tipo de Servicio]],CatPEP!A:A,CatPEP!C:C,"")</f>
        <v/>
      </c>
      <c r="G868" t="str">
        <f>_xlfn.XLOOKUP(Table1[[#This Row],[PEP]],CatPEP!C:C,CatPEP!D:D,"")</f>
        <v/>
      </c>
      <c r="O868" s="53">
        <f>SUMIF('Registro Refacciones'!B:B, I868, 'Registro Refacciones'!I:I)</f>
        <v>0</v>
      </c>
      <c r="P868" s="26">
        <f>Table1[[#This Row],[Costo Servicio]]+Table1[[#This Row],[Refacciones]]</f>
        <v>0</v>
      </c>
      <c r="Q868" s="26"/>
    </row>
    <row r="869" spans="1:17">
      <c r="A869" s="37" t="str">
        <f>IF(Table1[[#This Row],[Tipo de Servicio]]="","",Caratula!$D$15)</f>
        <v/>
      </c>
      <c r="B869" s="37" t="str">
        <f>IF(Table1[[#This Row],[Tipo de Servicio]]="","",Caratula!$D$16)</f>
        <v/>
      </c>
      <c r="C869" s="24" t="str">
        <f>IF(Table1[[#This Row],[Tipo de Servicio]]="","",Caratula!$D$17)</f>
        <v/>
      </c>
      <c r="D869" s="38" t="str">
        <f>IF(ISBLANK(Table1[[#This Row],[Tipo de Servicio]]),"",Caratula!$D$16)</f>
        <v/>
      </c>
      <c r="F869" t="str">
        <f>_xlfn.XLOOKUP(Table1[[#This Row],[SelGZ]]&amp;Table1[[#This Row],[Tipo de Servicio]],CatPEP!A:A,CatPEP!C:C,"")</f>
        <v/>
      </c>
      <c r="G869" t="str">
        <f>_xlfn.XLOOKUP(Table1[[#This Row],[PEP]],CatPEP!C:C,CatPEP!D:D,"")</f>
        <v/>
      </c>
      <c r="O869" s="53">
        <f>SUMIF('Registro Refacciones'!B:B, I869, 'Registro Refacciones'!I:I)</f>
        <v>0</v>
      </c>
      <c r="P869" s="26">
        <f>Table1[[#This Row],[Costo Servicio]]+Table1[[#This Row],[Refacciones]]</f>
        <v>0</v>
      </c>
      <c r="Q869" s="26"/>
    </row>
    <row r="870" spans="1:17">
      <c r="A870" s="37" t="str">
        <f>IF(Table1[[#This Row],[Tipo de Servicio]]="","",Caratula!$D$15)</f>
        <v/>
      </c>
      <c r="B870" s="37" t="str">
        <f>IF(Table1[[#This Row],[Tipo de Servicio]]="","",Caratula!$D$16)</f>
        <v/>
      </c>
      <c r="C870" s="24" t="str">
        <f>IF(Table1[[#This Row],[Tipo de Servicio]]="","",Caratula!$D$17)</f>
        <v/>
      </c>
      <c r="D870" s="38" t="str">
        <f>IF(ISBLANK(Table1[[#This Row],[Tipo de Servicio]]),"",Caratula!$D$16)</f>
        <v/>
      </c>
      <c r="F870" t="str">
        <f>_xlfn.XLOOKUP(Table1[[#This Row],[SelGZ]]&amp;Table1[[#This Row],[Tipo de Servicio]],CatPEP!A:A,CatPEP!C:C,"")</f>
        <v/>
      </c>
      <c r="G870" t="str">
        <f>_xlfn.XLOOKUP(Table1[[#This Row],[PEP]],CatPEP!C:C,CatPEP!D:D,"")</f>
        <v/>
      </c>
      <c r="O870" s="53">
        <f>SUMIF('Registro Refacciones'!B:B, I870, 'Registro Refacciones'!I:I)</f>
        <v>0</v>
      </c>
      <c r="P870" s="26">
        <f>Table1[[#This Row],[Costo Servicio]]+Table1[[#This Row],[Refacciones]]</f>
        <v>0</v>
      </c>
      <c r="Q870" s="26"/>
    </row>
    <row r="871" spans="1:17">
      <c r="A871" s="37" t="str">
        <f>IF(Table1[[#This Row],[Tipo de Servicio]]="","",Caratula!$D$15)</f>
        <v/>
      </c>
      <c r="B871" s="37" t="str">
        <f>IF(Table1[[#This Row],[Tipo de Servicio]]="","",Caratula!$D$16)</f>
        <v/>
      </c>
      <c r="C871" s="24" t="str">
        <f>IF(Table1[[#This Row],[Tipo de Servicio]]="","",Caratula!$D$17)</f>
        <v/>
      </c>
      <c r="D871" s="38" t="str">
        <f>IF(ISBLANK(Table1[[#This Row],[Tipo de Servicio]]),"",Caratula!$D$16)</f>
        <v/>
      </c>
      <c r="F871" t="str">
        <f>_xlfn.XLOOKUP(Table1[[#This Row],[SelGZ]]&amp;Table1[[#This Row],[Tipo de Servicio]],CatPEP!A:A,CatPEP!C:C,"")</f>
        <v/>
      </c>
      <c r="G871" t="str">
        <f>_xlfn.XLOOKUP(Table1[[#This Row],[PEP]],CatPEP!C:C,CatPEP!D:D,"")</f>
        <v/>
      </c>
      <c r="O871" s="53">
        <f>SUMIF('Registro Refacciones'!B:B, I871, 'Registro Refacciones'!I:I)</f>
        <v>0</v>
      </c>
      <c r="P871" s="26">
        <f>Table1[[#This Row],[Costo Servicio]]+Table1[[#This Row],[Refacciones]]</f>
        <v>0</v>
      </c>
      <c r="Q871" s="26"/>
    </row>
    <row r="872" spans="1:17">
      <c r="A872" s="37" t="str">
        <f>IF(Table1[[#This Row],[Tipo de Servicio]]="","",Caratula!$D$15)</f>
        <v/>
      </c>
      <c r="B872" s="37" t="str">
        <f>IF(Table1[[#This Row],[Tipo de Servicio]]="","",Caratula!$D$16)</f>
        <v/>
      </c>
      <c r="C872" s="24" t="str">
        <f>IF(Table1[[#This Row],[Tipo de Servicio]]="","",Caratula!$D$17)</f>
        <v/>
      </c>
      <c r="D872" s="38" t="str">
        <f>IF(ISBLANK(Table1[[#This Row],[Tipo de Servicio]]),"",Caratula!$D$16)</f>
        <v/>
      </c>
      <c r="F872" t="str">
        <f>_xlfn.XLOOKUP(Table1[[#This Row],[SelGZ]]&amp;Table1[[#This Row],[Tipo de Servicio]],CatPEP!A:A,CatPEP!C:C,"")</f>
        <v/>
      </c>
      <c r="G872" t="str">
        <f>_xlfn.XLOOKUP(Table1[[#This Row],[PEP]],CatPEP!C:C,CatPEP!D:D,"")</f>
        <v/>
      </c>
      <c r="O872" s="53">
        <f>SUMIF('Registro Refacciones'!B:B, I872, 'Registro Refacciones'!I:I)</f>
        <v>0</v>
      </c>
      <c r="P872" s="26">
        <f>Table1[[#This Row],[Costo Servicio]]+Table1[[#This Row],[Refacciones]]</f>
        <v>0</v>
      </c>
      <c r="Q872" s="26"/>
    </row>
    <row r="873" spans="1:17">
      <c r="A873" s="37" t="str">
        <f>IF(Table1[[#This Row],[Tipo de Servicio]]="","",Caratula!$D$15)</f>
        <v/>
      </c>
      <c r="B873" s="37" t="str">
        <f>IF(Table1[[#This Row],[Tipo de Servicio]]="","",Caratula!$D$16)</f>
        <v/>
      </c>
      <c r="C873" s="24" t="str">
        <f>IF(Table1[[#This Row],[Tipo de Servicio]]="","",Caratula!$D$17)</f>
        <v/>
      </c>
      <c r="D873" s="38" t="str">
        <f>IF(ISBLANK(Table1[[#This Row],[Tipo de Servicio]]),"",Caratula!$D$16)</f>
        <v/>
      </c>
      <c r="F873" t="str">
        <f>_xlfn.XLOOKUP(Table1[[#This Row],[SelGZ]]&amp;Table1[[#This Row],[Tipo de Servicio]],CatPEP!A:A,CatPEP!C:C,"")</f>
        <v/>
      </c>
      <c r="G873" t="str">
        <f>_xlfn.XLOOKUP(Table1[[#This Row],[PEP]],CatPEP!C:C,CatPEP!D:D,"")</f>
        <v/>
      </c>
      <c r="O873" s="53">
        <f>SUMIF('Registro Refacciones'!B:B, I873, 'Registro Refacciones'!I:I)</f>
        <v>0</v>
      </c>
      <c r="P873" s="26">
        <f>Table1[[#This Row],[Costo Servicio]]+Table1[[#This Row],[Refacciones]]</f>
        <v>0</v>
      </c>
      <c r="Q873" s="26"/>
    </row>
    <row r="874" spans="1:17">
      <c r="A874" s="37" t="str">
        <f>IF(Table1[[#This Row],[Tipo de Servicio]]="","",Caratula!$D$15)</f>
        <v/>
      </c>
      <c r="B874" s="37" t="str">
        <f>IF(Table1[[#This Row],[Tipo de Servicio]]="","",Caratula!$D$16)</f>
        <v/>
      </c>
      <c r="C874" s="24" t="str">
        <f>IF(Table1[[#This Row],[Tipo de Servicio]]="","",Caratula!$D$17)</f>
        <v/>
      </c>
      <c r="D874" s="38" t="str">
        <f>IF(ISBLANK(Table1[[#This Row],[Tipo de Servicio]]),"",Caratula!$D$16)</f>
        <v/>
      </c>
      <c r="F874" t="str">
        <f>_xlfn.XLOOKUP(Table1[[#This Row],[SelGZ]]&amp;Table1[[#This Row],[Tipo de Servicio]],CatPEP!A:A,CatPEP!C:C,"")</f>
        <v/>
      </c>
      <c r="G874" t="str">
        <f>_xlfn.XLOOKUP(Table1[[#This Row],[PEP]],CatPEP!C:C,CatPEP!D:D,"")</f>
        <v/>
      </c>
      <c r="O874" s="53">
        <f>SUMIF('Registro Refacciones'!B:B, I874, 'Registro Refacciones'!I:I)</f>
        <v>0</v>
      </c>
      <c r="P874" s="26">
        <f>Table1[[#This Row],[Costo Servicio]]+Table1[[#This Row],[Refacciones]]</f>
        <v>0</v>
      </c>
      <c r="Q874" s="26"/>
    </row>
    <row r="875" spans="1:17">
      <c r="A875" s="37" t="str">
        <f>IF(Table1[[#This Row],[Tipo de Servicio]]="","",Caratula!$D$15)</f>
        <v/>
      </c>
      <c r="B875" s="37" t="str">
        <f>IF(Table1[[#This Row],[Tipo de Servicio]]="","",Caratula!$D$16)</f>
        <v/>
      </c>
      <c r="C875" s="24" t="str">
        <f>IF(Table1[[#This Row],[Tipo de Servicio]]="","",Caratula!$D$17)</f>
        <v/>
      </c>
      <c r="D875" s="38" t="str">
        <f>IF(ISBLANK(Table1[[#This Row],[Tipo de Servicio]]),"",Caratula!$D$16)</f>
        <v/>
      </c>
      <c r="F875" t="str">
        <f>_xlfn.XLOOKUP(Table1[[#This Row],[SelGZ]]&amp;Table1[[#This Row],[Tipo de Servicio]],CatPEP!A:A,CatPEP!C:C,"")</f>
        <v/>
      </c>
      <c r="G875" t="str">
        <f>_xlfn.XLOOKUP(Table1[[#This Row],[PEP]],CatPEP!C:C,CatPEP!D:D,"")</f>
        <v/>
      </c>
      <c r="O875" s="53">
        <f>SUMIF('Registro Refacciones'!B:B, I875, 'Registro Refacciones'!I:I)</f>
        <v>0</v>
      </c>
      <c r="P875" s="26">
        <f>Table1[[#This Row],[Costo Servicio]]+Table1[[#This Row],[Refacciones]]</f>
        <v>0</v>
      </c>
      <c r="Q875" s="26"/>
    </row>
    <row r="876" spans="1:17">
      <c r="A876" s="37" t="str">
        <f>IF(Table1[[#This Row],[Tipo de Servicio]]="","",Caratula!$D$15)</f>
        <v/>
      </c>
      <c r="B876" s="37" t="str">
        <f>IF(Table1[[#This Row],[Tipo de Servicio]]="","",Caratula!$D$16)</f>
        <v/>
      </c>
      <c r="C876" s="24" t="str">
        <f>IF(Table1[[#This Row],[Tipo de Servicio]]="","",Caratula!$D$17)</f>
        <v/>
      </c>
      <c r="D876" s="38" t="str">
        <f>IF(ISBLANK(Table1[[#This Row],[Tipo de Servicio]]),"",Caratula!$D$16)</f>
        <v/>
      </c>
      <c r="F876" t="str">
        <f>_xlfn.XLOOKUP(Table1[[#This Row],[SelGZ]]&amp;Table1[[#This Row],[Tipo de Servicio]],CatPEP!A:A,CatPEP!C:C,"")</f>
        <v/>
      </c>
      <c r="G876" t="str">
        <f>_xlfn.XLOOKUP(Table1[[#This Row],[PEP]],CatPEP!C:C,CatPEP!D:D,"")</f>
        <v/>
      </c>
      <c r="O876" s="53">
        <f>SUMIF('Registro Refacciones'!B:B, I876, 'Registro Refacciones'!I:I)</f>
        <v>0</v>
      </c>
      <c r="P876" s="26">
        <f>Table1[[#This Row],[Costo Servicio]]+Table1[[#This Row],[Refacciones]]</f>
        <v>0</v>
      </c>
      <c r="Q876" s="26"/>
    </row>
    <row r="877" spans="1:17">
      <c r="A877" s="37" t="str">
        <f>IF(Table1[[#This Row],[Tipo de Servicio]]="","",Caratula!$D$15)</f>
        <v/>
      </c>
      <c r="B877" s="37" t="str">
        <f>IF(Table1[[#This Row],[Tipo de Servicio]]="","",Caratula!$D$16)</f>
        <v/>
      </c>
      <c r="C877" s="24" t="str">
        <f>IF(Table1[[#This Row],[Tipo de Servicio]]="","",Caratula!$D$17)</f>
        <v/>
      </c>
      <c r="D877" s="38" t="str">
        <f>IF(ISBLANK(Table1[[#This Row],[Tipo de Servicio]]),"",Caratula!$D$16)</f>
        <v/>
      </c>
      <c r="F877" t="str">
        <f>_xlfn.XLOOKUP(Table1[[#This Row],[SelGZ]]&amp;Table1[[#This Row],[Tipo de Servicio]],CatPEP!A:A,CatPEP!C:C,"")</f>
        <v/>
      </c>
      <c r="G877" t="str">
        <f>_xlfn.XLOOKUP(Table1[[#This Row],[PEP]],CatPEP!C:C,CatPEP!D:D,"")</f>
        <v/>
      </c>
      <c r="O877" s="53">
        <f>SUMIF('Registro Refacciones'!B:B, I877, 'Registro Refacciones'!I:I)</f>
        <v>0</v>
      </c>
      <c r="P877" s="26">
        <f>Table1[[#This Row],[Costo Servicio]]+Table1[[#This Row],[Refacciones]]</f>
        <v>0</v>
      </c>
      <c r="Q877" s="26"/>
    </row>
    <row r="878" spans="1:17">
      <c r="A878" s="37" t="str">
        <f>IF(Table1[[#This Row],[Tipo de Servicio]]="","",Caratula!$D$15)</f>
        <v/>
      </c>
      <c r="B878" s="37" t="str">
        <f>IF(Table1[[#This Row],[Tipo de Servicio]]="","",Caratula!$D$16)</f>
        <v/>
      </c>
      <c r="C878" s="24" t="str">
        <f>IF(Table1[[#This Row],[Tipo de Servicio]]="","",Caratula!$D$17)</f>
        <v/>
      </c>
      <c r="D878" s="38" t="str">
        <f>IF(ISBLANK(Table1[[#This Row],[Tipo de Servicio]]),"",Caratula!$D$16)</f>
        <v/>
      </c>
      <c r="F878" t="str">
        <f>_xlfn.XLOOKUP(Table1[[#This Row],[SelGZ]]&amp;Table1[[#This Row],[Tipo de Servicio]],CatPEP!A:A,CatPEP!C:C,"")</f>
        <v/>
      </c>
      <c r="G878" t="str">
        <f>_xlfn.XLOOKUP(Table1[[#This Row],[PEP]],CatPEP!C:C,CatPEP!D:D,"")</f>
        <v/>
      </c>
      <c r="O878" s="53">
        <f>SUMIF('Registro Refacciones'!B:B, I878, 'Registro Refacciones'!I:I)</f>
        <v>0</v>
      </c>
      <c r="P878" s="26">
        <f>Table1[[#This Row],[Costo Servicio]]+Table1[[#This Row],[Refacciones]]</f>
        <v>0</v>
      </c>
      <c r="Q878" s="26"/>
    </row>
    <row r="879" spans="1:17">
      <c r="A879" s="37" t="str">
        <f>IF(Table1[[#This Row],[Tipo de Servicio]]="","",Caratula!$D$15)</f>
        <v/>
      </c>
      <c r="B879" s="37" t="str">
        <f>IF(Table1[[#This Row],[Tipo de Servicio]]="","",Caratula!$D$16)</f>
        <v/>
      </c>
      <c r="C879" s="24" t="str">
        <f>IF(Table1[[#This Row],[Tipo de Servicio]]="","",Caratula!$D$17)</f>
        <v/>
      </c>
      <c r="D879" s="38" t="str">
        <f>IF(ISBLANK(Table1[[#This Row],[Tipo de Servicio]]),"",Caratula!$D$16)</f>
        <v/>
      </c>
      <c r="F879" t="str">
        <f>_xlfn.XLOOKUP(Table1[[#This Row],[SelGZ]]&amp;Table1[[#This Row],[Tipo de Servicio]],CatPEP!A:A,CatPEP!C:C,"")</f>
        <v/>
      </c>
      <c r="G879" t="str">
        <f>_xlfn.XLOOKUP(Table1[[#This Row],[PEP]],CatPEP!C:C,CatPEP!D:D,"")</f>
        <v/>
      </c>
      <c r="O879" s="53">
        <f>SUMIF('Registro Refacciones'!B:B, I879, 'Registro Refacciones'!I:I)</f>
        <v>0</v>
      </c>
      <c r="P879" s="26">
        <f>Table1[[#This Row],[Costo Servicio]]+Table1[[#This Row],[Refacciones]]</f>
        <v>0</v>
      </c>
      <c r="Q879" s="26"/>
    </row>
    <row r="880" spans="1:17">
      <c r="A880" s="37" t="str">
        <f>IF(Table1[[#This Row],[Tipo de Servicio]]="","",Caratula!$D$15)</f>
        <v/>
      </c>
      <c r="B880" s="37" t="str">
        <f>IF(Table1[[#This Row],[Tipo de Servicio]]="","",Caratula!$D$16)</f>
        <v/>
      </c>
      <c r="C880" s="24" t="str">
        <f>IF(Table1[[#This Row],[Tipo de Servicio]]="","",Caratula!$D$17)</f>
        <v/>
      </c>
      <c r="D880" s="38" t="str">
        <f>IF(ISBLANK(Table1[[#This Row],[Tipo de Servicio]]),"",Caratula!$D$16)</f>
        <v/>
      </c>
      <c r="F880" t="str">
        <f>_xlfn.XLOOKUP(Table1[[#This Row],[SelGZ]]&amp;Table1[[#This Row],[Tipo de Servicio]],CatPEP!A:A,CatPEP!C:C,"")</f>
        <v/>
      </c>
      <c r="G880" t="str">
        <f>_xlfn.XLOOKUP(Table1[[#This Row],[PEP]],CatPEP!C:C,CatPEP!D:D,"")</f>
        <v/>
      </c>
      <c r="O880" s="53">
        <f>SUMIF('Registro Refacciones'!B:B, I880, 'Registro Refacciones'!I:I)</f>
        <v>0</v>
      </c>
      <c r="P880" s="26">
        <f>Table1[[#This Row],[Costo Servicio]]+Table1[[#This Row],[Refacciones]]</f>
        <v>0</v>
      </c>
      <c r="Q880" s="26"/>
    </row>
    <row r="881" spans="1:17">
      <c r="A881" s="37" t="str">
        <f>IF(Table1[[#This Row],[Tipo de Servicio]]="","",Caratula!$D$15)</f>
        <v/>
      </c>
      <c r="B881" s="37" t="str">
        <f>IF(Table1[[#This Row],[Tipo de Servicio]]="","",Caratula!$D$16)</f>
        <v/>
      </c>
      <c r="C881" s="24" t="str">
        <f>IF(Table1[[#This Row],[Tipo de Servicio]]="","",Caratula!$D$17)</f>
        <v/>
      </c>
      <c r="D881" s="38" t="str">
        <f>IF(ISBLANK(Table1[[#This Row],[Tipo de Servicio]]),"",Caratula!$D$16)</f>
        <v/>
      </c>
      <c r="F881" t="str">
        <f>_xlfn.XLOOKUP(Table1[[#This Row],[SelGZ]]&amp;Table1[[#This Row],[Tipo de Servicio]],CatPEP!A:A,CatPEP!C:C,"")</f>
        <v/>
      </c>
      <c r="G881" t="str">
        <f>_xlfn.XLOOKUP(Table1[[#This Row],[PEP]],CatPEP!C:C,CatPEP!D:D,"")</f>
        <v/>
      </c>
      <c r="O881" s="53">
        <f>SUMIF('Registro Refacciones'!B:B, I881, 'Registro Refacciones'!I:I)</f>
        <v>0</v>
      </c>
      <c r="P881" s="26">
        <f>Table1[[#This Row],[Costo Servicio]]+Table1[[#This Row],[Refacciones]]</f>
        <v>0</v>
      </c>
      <c r="Q881" s="26"/>
    </row>
    <row r="882" spans="1:17">
      <c r="A882" s="37" t="str">
        <f>IF(Table1[[#This Row],[Tipo de Servicio]]="","",Caratula!$D$15)</f>
        <v/>
      </c>
      <c r="B882" s="37" t="str">
        <f>IF(Table1[[#This Row],[Tipo de Servicio]]="","",Caratula!$D$16)</f>
        <v/>
      </c>
      <c r="C882" s="24" t="str">
        <f>IF(Table1[[#This Row],[Tipo de Servicio]]="","",Caratula!$D$17)</f>
        <v/>
      </c>
      <c r="D882" s="38" t="str">
        <f>IF(ISBLANK(Table1[[#This Row],[Tipo de Servicio]]),"",Caratula!$D$16)</f>
        <v/>
      </c>
      <c r="F882" t="str">
        <f>_xlfn.XLOOKUP(Table1[[#This Row],[SelGZ]]&amp;Table1[[#This Row],[Tipo de Servicio]],CatPEP!A:A,CatPEP!C:C,"")</f>
        <v/>
      </c>
      <c r="G882" t="str">
        <f>_xlfn.XLOOKUP(Table1[[#This Row],[PEP]],CatPEP!C:C,CatPEP!D:D,"")</f>
        <v/>
      </c>
      <c r="O882" s="53">
        <f>SUMIF('Registro Refacciones'!B:B, I882, 'Registro Refacciones'!I:I)</f>
        <v>0</v>
      </c>
      <c r="P882" s="26">
        <f>Table1[[#This Row],[Costo Servicio]]+Table1[[#This Row],[Refacciones]]</f>
        <v>0</v>
      </c>
      <c r="Q882" s="26"/>
    </row>
    <row r="883" spans="1:17">
      <c r="A883" s="37" t="str">
        <f>IF(Table1[[#This Row],[Tipo de Servicio]]="","",Caratula!$D$15)</f>
        <v/>
      </c>
      <c r="B883" s="37" t="str">
        <f>IF(Table1[[#This Row],[Tipo de Servicio]]="","",Caratula!$D$16)</f>
        <v/>
      </c>
      <c r="C883" s="24" t="str">
        <f>IF(Table1[[#This Row],[Tipo de Servicio]]="","",Caratula!$D$17)</f>
        <v/>
      </c>
      <c r="D883" s="38" t="str">
        <f>IF(ISBLANK(Table1[[#This Row],[Tipo de Servicio]]),"",Caratula!$D$16)</f>
        <v/>
      </c>
      <c r="F883" t="str">
        <f>_xlfn.XLOOKUP(Table1[[#This Row],[SelGZ]]&amp;Table1[[#This Row],[Tipo de Servicio]],CatPEP!A:A,CatPEP!C:C,"")</f>
        <v/>
      </c>
      <c r="G883" t="str">
        <f>_xlfn.XLOOKUP(Table1[[#This Row],[PEP]],CatPEP!C:C,CatPEP!D:D,"")</f>
        <v/>
      </c>
      <c r="O883" s="53">
        <f>SUMIF('Registro Refacciones'!B:B, I883, 'Registro Refacciones'!I:I)</f>
        <v>0</v>
      </c>
      <c r="P883" s="26">
        <f>Table1[[#This Row],[Costo Servicio]]+Table1[[#This Row],[Refacciones]]</f>
        <v>0</v>
      </c>
      <c r="Q883" s="26"/>
    </row>
    <row r="884" spans="1:17">
      <c r="A884" s="37" t="str">
        <f>IF(Table1[[#This Row],[Tipo de Servicio]]="","",Caratula!$D$15)</f>
        <v/>
      </c>
      <c r="B884" s="37" t="str">
        <f>IF(Table1[[#This Row],[Tipo de Servicio]]="","",Caratula!$D$16)</f>
        <v/>
      </c>
      <c r="C884" s="24" t="str">
        <f>IF(Table1[[#This Row],[Tipo de Servicio]]="","",Caratula!$D$17)</f>
        <v/>
      </c>
      <c r="D884" s="38" t="str">
        <f>IF(ISBLANK(Table1[[#This Row],[Tipo de Servicio]]),"",Caratula!$D$16)</f>
        <v/>
      </c>
      <c r="F884" t="str">
        <f>_xlfn.XLOOKUP(Table1[[#This Row],[SelGZ]]&amp;Table1[[#This Row],[Tipo de Servicio]],CatPEP!A:A,CatPEP!C:C,"")</f>
        <v/>
      </c>
      <c r="G884" t="str">
        <f>_xlfn.XLOOKUP(Table1[[#This Row],[PEP]],CatPEP!C:C,CatPEP!D:D,"")</f>
        <v/>
      </c>
      <c r="O884" s="53">
        <f>SUMIF('Registro Refacciones'!B:B, I884, 'Registro Refacciones'!I:I)</f>
        <v>0</v>
      </c>
      <c r="P884" s="26">
        <f>Table1[[#This Row],[Costo Servicio]]+Table1[[#This Row],[Refacciones]]</f>
        <v>0</v>
      </c>
      <c r="Q884" s="26"/>
    </row>
    <row r="885" spans="1:17">
      <c r="A885" s="37" t="str">
        <f>IF(Table1[[#This Row],[Tipo de Servicio]]="","",Caratula!$D$15)</f>
        <v/>
      </c>
      <c r="B885" s="37" t="str">
        <f>IF(Table1[[#This Row],[Tipo de Servicio]]="","",Caratula!$D$16)</f>
        <v/>
      </c>
      <c r="C885" s="24" t="str">
        <f>IF(Table1[[#This Row],[Tipo de Servicio]]="","",Caratula!$D$17)</f>
        <v/>
      </c>
      <c r="D885" s="38" t="str">
        <f>IF(ISBLANK(Table1[[#This Row],[Tipo de Servicio]]),"",Caratula!$D$16)</f>
        <v/>
      </c>
      <c r="F885" t="str">
        <f>_xlfn.XLOOKUP(Table1[[#This Row],[SelGZ]]&amp;Table1[[#This Row],[Tipo de Servicio]],CatPEP!A:A,CatPEP!C:C,"")</f>
        <v/>
      </c>
      <c r="G885" t="str">
        <f>_xlfn.XLOOKUP(Table1[[#This Row],[PEP]],CatPEP!C:C,CatPEP!D:D,"")</f>
        <v/>
      </c>
      <c r="O885" s="53">
        <f>SUMIF('Registro Refacciones'!B:B, I885, 'Registro Refacciones'!I:I)</f>
        <v>0</v>
      </c>
      <c r="P885" s="26">
        <f>Table1[[#This Row],[Costo Servicio]]+Table1[[#This Row],[Refacciones]]</f>
        <v>0</v>
      </c>
      <c r="Q885" s="26"/>
    </row>
    <row r="886" spans="1:17">
      <c r="A886" s="37" t="str">
        <f>IF(Table1[[#This Row],[Tipo de Servicio]]="","",Caratula!$D$15)</f>
        <v/>
      </c>
      <c r="B886" s="37" t="str">
        <f>IF(Table1[[#This Row],[Tipo de Servicio]]="","",Caratula!$D$16)</f>
        <v/>
      </c>
      <c r="C886" s="24" t="str">
        <f>IF(Table1[[#This Row],[Tipo de Servicio]]="","",Caratula!$D$17)</f>
        <v/>
      </c>
      <c r="D886" s="38" t="str">
        <f>IF(ISBLANK(Table1[[#This Row],[Tipo de Servicio]]),"",Caratula!$D$16)</f>
        <v/>
      </c>
      <c r="F886" t="str">
        <f>_xlfn.XLOOKUP(Table1[[#This Row],[SelGZ]]&amp;Table1[[#This Row],[Tipo de Servicio]],CatPEP!A:A,CatPEP!C:C,"")</f>
        <v/>
      </c>
      <c r="G886" t="str">
        <f>_xlfn.XLOOKUP(Table1[[#This Row],[PEP]],CatPEP!C:C,CatPEP!D:D,"")</f>
        <v/>
      </c>
      <c r="O886" s="53">
        <f>SUMIF('Registro Refacciones'!B:B, I886, 'Registro Refacciones'!I:I)</f>
        <v>0</v>
      </c>
      <c r="P886" s="26">
        <f>Table1[[#This Row],[Costo Servicio]]+Table1[[#This Row],[Refacciones]]</f>
        <v>0</v>
      </c>
      <c r="Q886" s="26"/>
    </row>
    <row r="887" spans="1:17">
      <c r="A887" s="37" t="str">
        <f>IF(Table1[[#This Row],[Tipo de Servicio]]="","",Caratula!$D$15)</f>
        <v/>
      </c>
      <c r="B887" s="37" t="str">
        <f>IF(Table1[[#This Row],[Tipo de Servicio]]="","",Caratula!$D$16)</f>
        <v/>
      </c>
      <c r="C887" s="24" t="str">
        <f>IF(Table1[[#This Row],[Tipo de Servicio]]="","",Caratula!$D$17)</f>
        <v/>
      </c>
      <c r="D887" s="38" t="str">
        <f>IF(ISBLANK(Table1[[#This Row],[Tipo de Servicio]]),"",Caratula!$D$16)</f>
        <v/>
      </c>
      <c r="F887" t="str">
        <f>_xlfn.XLOOKUP(Table1[[#This Row],[SelGZ]]&amp;Table1[[#This Row],[Tipo de Servicio]],CatPEP!A:A,CatPEP!C:C,"")</f>
        <v/>
      </c>
      <c r="G887" t="str">
        <f>_xlfn.XLOOKUP(Table1[[#This Row],[PEP]],CatPEP!C:C,CatPEP!D:D,"")</f>
        <v/>
      </c>
      <c r="O887" s="53">
        <f>SUMIF('Registro Refacciones'!B:B, I887, 'Registro Refacciones'!I:I)</f>
        <v>0</v>
      </c>
      <c r="P887" s="26">
        <f>Table1[[#This Row],[Costo Servicio]]+Table1[[#This Row],[Refacciones]]</f>
        <v>0</v>
      </c>
      <c r="Q887" s="26"/>
    </row>
    <row r="888" spans="1:17">
      <c r="A888" s="37" t="str">
        <f>IF(Table1[[#This Row],[Tipo de Servicio]]="","",Caratula!$D$15)</f>
        <v/>
      </c>
      <c r="B888" s="37" t="str">
        <f>IF(Table1[[#This Row],[Tipo de Servicio]]="","",Caratula!$D$16)</f>
        <v/>
      </c>
      <c r="C888" s="24" t="str">
        <f>IF(Table1[[#This Row],[Tipo de Servicio]]="","",Caratula!$D$17)</f>
        <v/>
      </c>
      <c r="D888" s="38" t="str">
        <f>IF(ISBLANK(Table1[[#This Row],[Tipo de Servicio]]),"",Caratula!$D$16)</f>
        <v/>
      </c>
      <c r="F888" t="str">
        <f>_xlfn.XLOOKUP(Table1[[#This Row],[SelGZ]]&amp;Table1[[#This Row],[Tipo de Servicio]],CatPEP!A:A,CatPEP!C:C,"")</f>
        <v/>
      </c>
      <c r="G888" t="str">
        <f>_xlfn.XLOOKUP(Table1[[#This Row],[PEP]],CatPEP!C:C,CatPEP!D:D,"")</f>
        <v/>
      </c>
      <c r="O888" s="53">
        <f>SUMIF('Registro Refacciones'!B:B, I888, 'Registro Refacciones'!I:I)</f>
        <v>0</v>
      </c>
      <c r="P888" s="26">
        <f>Table1[[#This Row],[Costo Servicio]]+Table1[[#This Row],[Refacciones]]</f>
        <v>0</v>
      </c>
      <c r="Q888" s="26"/>
    </row>
    <row r="889" spans="1:17">
      <c r="A889" s="37" t="str">
        <f>IF(Table1[[#This Row],[Tipo de Servicio]]="","",Caratula!$D$15)</f>
        <v/>
      </c>
      <c r="B889" s="37" t="str">
        <f>IF(Table1[[#This Row],[Tipo de Servicio]]="","",Caratula!$D$16)</f>
        <v/>
      </c>
      <c r="C889" s="24" t="str">
        <f>IF(Table1[[#This Row],[Tipo de Servicio]]="","",Caratula!$D$17)</f>
        <v/>
      </c>
      <c r="D889" s="38" t="str">
        <f>IF(ISBLANK(Table1[[#This Row],[Tipo de Servicio]]),"",Caratula!$D$16)</f>
        <v/>
      </c>
      <c r="F889" t="str">
        <f>_xlfn.XLOOKUP(Table1[[#This Row],[SelGZ]]&amp;Table1[[#This Row],[Tipo de Servicio]],CatPEP!A:A,CatPEP!C:C,"")</f>
        <v/>
      </c>
      <c r="G889" t="str">
        <f>_xlfn.XLOOKUP(Table1[[#This Row],[PEP]],CatPEP!C:C,CatPEP!D:D,"")</f>
        <v/>
      </c>
      <c r="O889" s="53">
        <f>SUMIF('Registro Refacciones'!B:B, I889, 'Registro Refacciones'!I:I)</f>
        <v>0</v>
      </c>
      <c r="P889" s="26">
        <f>Table1[[#This Row],[Costo Servicio]]+Table1[[#This Row],[Refacciones]]</f>
        <v>0</v>
      </c>
      <c r="Q889" s="26"/>
    </row>
    <row r="890" spans="1:17">
      <c r="A890" s="37" t="str">
        <f>IF(Table1[[#This Row],[Tipo de Servicio]]="","",Caratula!$D$15)</f>
        <v/>
      </c>
      <c r="B890" s="37" t="str">
        <f>IF(Table1[[#This Row],[Tipo de Servicio]]="","",Caratula!$D$16)</f>
        <v/>
      </c>
      <c r="C890" s="24" t="str">
        <f>IF(Table1[[#This Row],[Tipo de Servicio]]="","",Caratula!$D$17)</f>
        <v/>
      </c>
      <c r="D890" s="38" t="str">
        <f>IF(ISBLANK(Table1[[#This Row],[Tipo de Servicio]]),"",Caratula!$D$16)</f>
        <v/>
      </c>
      <c r="F890" t="str">
        <f>_xlfn.XLOOKUP(Table1[[#This Row],[SelGZ]]&amp;Table1[[#This Row],[Tipo de Servicio]],CatPEP!A:A,CatPEP!C:C,"")</f>
        <v/>
      </c>
      <c r="G890" t="str">
        <f>_xlfn.XLOOKUP(Table1[[#This Row],[PEP]],CatPEP!C:C,CatPEP!D:D,"")</f>
        <v/>
      </c>
      <c r="O890" s="53">
        <f>SUMIF('Registro Refacciones'!B:B, I890, 'Registro Refacciones'!I:I)</f>
        <v>0</v>
      </c>
      <c r="P890" s="26">
        <f>Table1[[#This Row],[Costo Servicio]]+Table1[[#This Row],[Refacciones]]</f>
        <v>0</v>
      </c>
      <c r="Q890" s="26"/>
    </row>
    <row r="891" spans="1:17">
      <c r="A891" s="37" t="str">
        <f>IF(Table1[[#This Row],[Tipo de Servicio]]="","",Caratula!$D$15)</f>
        <v/>
      </c>
      <c r="B891" s="37" t="str">
        <f>IF(Table1[[#This Row],[Tipo de Servicio]]="","",Caratula!$D$16)</f>
        <v/>
      </c>
      <c r="C891" s="24" t="str">
        <f>IF(Table1[[#This Row],[Tipo de Servicio]]="","",Caratula!$D$17)</f>
        <v/>
      </c>
      <c r="D891" s="38" t="str">
        <f>IF(ISBLANK(Table1[[#This Row],[Tipo de Servicio]]),"",Caratula!$D$16)</f>
        <v/>
      </c>
      <c r="F891" t="str">
        <f>_xlfn.XLOOKUP(Table1[[#This Row],[SelGZ]]&amp;Table1[[#This Row],[Tipo de Servicio]],CatPEP!A:A,CatPEP!C:C,"")</f>
        <v/>
      </c>
      <c r="G891" t="str">
        <f>_xlfn.XLOOKUP(Table1[[#This Row],[PEP]],CatPEP!C:C,CatPEP!D:D,"")</f>
        <v/>
      </c>
      <c r="O891" s="53">
        <f>SUMIF('Registro Refacciones'!B:B, I891, 'Registro Refacciones'!I:I)</f>
        <v>0</v>
      </c>
      <c r="P891" s="26">
        <f>Table1[[#This Row],[Costo Servicio]]+Table1[[#This Row],[Refacciones]]</f>
        <v>0</v>
      </c>
      <c r="Q891" s="26"/>
    </row>
    <row r="892" spans="1:17">
      <c r="A892" s="37" t="str">
        <f>IF(Table1[[#This Row],[Tipo de Servicio]]="","",Caratula!$D$15)</f>
        <v/>
      </c>
      <c r="B892" s="37" t="str">
        <f>IF(Table1[[#This Row],[Tipo de Servicio]]="","",Caratula!$D$16)</f>
        <v/>
      </c>
      <c r="C892" s="24" t="str">
        <f>IF(Table1[[#This Row],[Tipo de Servicio]]="","",Caratula!$D$17)</f>
        <v/>
      </c>
      <c r="D892" s="38" t="str">
        <f>IF(ISBLANK(Table1[[#This Row],[Tipo de Servicio]]),"",Caratula!$D$16)</f>
        <v/>
      </c>
      <c r="F892" t="str">
        <f>_xlfn.XLOOKUP(Table1[[#This Row],[SelGZ]]&amp;Table1[[#This Row],[Tipo de Servicio]],CatPEP!A:A,CatPEP!C:C,"")</f>
        <v/>
      </c>
      <c r="G892" t="str">
        <f>_xlfn.XLOOKUP(Table1[[#This Row],[PEP]],CatPEP!C:C,CatPEP!D:D,"")</f>
        <v/>
      </c>
      <c r="O892" s="53">
        <f>SUMIF('Registro Refacciones'!B:B, I892, 'Registro Refacciones'!I:I)</f>
        <v>0</v>
      </c>
      <c r="P892" s="26">
        <f>Table1[[#This Row],[Costo Servicio]]+Table1[[#This Row],[Refacciones]]</f>
        <v>0</v>
      </c>
      <c r="Q892" s="26"/>
    </row>
    <row r="893" spans="1:17">
      <c r="A893" s="37" t="str">
        <f>IF(Table1[[#This Row],[Tipo de Servicio]]="","",Caratula!$D$15)</f>
        <v/>
      </c>
      <c r="B893" s="37" t="str">
        <f>IF(Table1[[#This Row],[Tipo de Servicio]]="","",Caratula!$D$16)</f>
        <v/>
      </c>
      <c r="C893" s="24" t="str">
        <f>IF(Table1[[#This Row],[Tipo de Servicio]]="","",Caratula!$D$17)</f>
        <v/>
      </c>
      <c r="D893" s="38" t="str">
        <f>IF(ISBLANK(Table1[[#This Row],[Tipo de Servicio]]),"",Caratula!$D$16)</f>
        <v/>
      </c>
      <c r="F893" t="str">
        <f>_xlfn.XLOOKUP(Table1[[#This Row],[SelGZ]]&amp;Table1[[#This Row],[Tipo de Servicio]],CatPEP!A:A,CatPEP!C:C,"")</f>
        <v/>
      </c>
      <c r="G893" t="str">
        <f>_xlfn.XLOOKUP(Table1[[#This Row],[PEP]],CatPEP!C:C,CatPEP!D:D,"")</f>
        <v/>
      </c>
      <c r="O893" s="53">
        <f>SUMIF('Registro Refacciones'!B:B, I893, 'Registro Refacciones'!I:I)</f>
        <v>0</v>
      </c>
      <c r="P893" s="26">
        <f>Table1[[#This Row],[Costo Servicio]]+Table1[[#This Row],[Refacciones]]</f>
        <v>0</v>
      </c>
      <c r="Q893" s="26"/>
    </row>
    <row r="894" spans="1:17">
      <c r="A894" s="37" t="str">
        <f>IF(Table1[[#This Row],[Tipo de Servicio]]="","",Caratula!$D$15)</f>
        <v/>
      </c>
      <c r="B894" s="37" t="str">
        <f>IF(Table1[[#This Row],[Tipo de Servicio]]="","",Caratula!$D$16)</f>
        <v/>
      </c>
      <c r="C894" s="24" t="str">
        <f>IF(Table1[[#This Row],[Tipo de Servicio]]="","",Caratula!$D$17)</f>
        <v/>
      </c>
      <c r="D894" s="38" t="str">
        <f>IF(ISBLANK(Table1[[#This Row],[Tipo de Servicio]]),"",Caratula!$D$16)</f>
        <v/>
      </c>
      <c r="F894" t="str">
        <f>_xlfn.XLOOKUP(Table1[[#This Row],[SelGZ]]&amp;Table1[[#This Row],[Tipo de Servicio]],CatPEP!A:A,CatPEP!C:C,"")</f>
        <v/>
      </c>
      <c r="G894" t="str">
        <f>_xlfn.XLOOKUP(Table1[[#This Row],[PEP]],CatPEP!C:C,CatPEP!D:D,"")</f>
        <v/>
      </c>
      <c r="O894" s="53">
        <f>SUMIF('Registro Refacciones'!B:B, I894, 'Registro Refacciones'!I:I)</f>
        <v>0</v>
      </c>
      <c r="P894" s="26">
        <f>Table1[[#This Row],[Costo Servicio]]+Table1[[#This Row],[Refacciones]]</f>
        <v>0</v>
      </c>
      <c r="Q894" s="26"/>
    </row>
    <row r="895" spans="1:17">
      <c r="A895" s="37" t="str">
        <f>IF(Table1[[#This Row],[Tipo de Servicio]]="","",Caratula!$D$15)</f>
        <v/>
      </c>
      <c r="B895" s="37" t="str">
        <f>IF(Table1[[#This Row],[Tipo de Servicio]]="","",Caratula!$D$16)</f>
        <v/>
      </c>
      <c r="C895" s="24" t="str">
        <f>IF(Table1[[#This Row],[Tipo de Servicio]]="","",Caratula!$D$17)</f>
        <v/>
      </c>
      <c r="D895" s="38" t="str">
        <f>IF(ISBLANK(Table1[[#This Row],[Tipo de Servicio]]),"",Caratula!$D$16)</f>
        <v/>
      </c>
      <c r="F895" t="str">
        <f>_xlfn.XLOOKUP(Table1[[#This Row],[SelGZ]]&amp;Table1[[#This Row],[Tipo de Servicio]],CatPEP!A:A,CatPEP!C:C,"")</f>
        <v/>
      </c>
      <c r="G895" t="str">
        <f>_xlfn.XLOOKUP(Table1[[#This Row],[PEP]],CatPEP!C:C,CatPEP!D:D,"")</f>
        <v/>
      </c>
      <c r="O895" s="53">
        <f>SUMIF('Registro Refacciones'!B:B, I895, 'Registro Refacciones'!I:I)</f>
        <v>0</v>
      </c>
      <c r="P895" s="26">
        <f>Table1[[#This Row],[Costo Servicio]]+Table1[[#This Row],[Refacciones]]</f>
        <v>0</v>
      </c>
      <c r="Q895" s="26"/>
    </row>
    <row r="896" spans="1:17">
      <c r="A896" s="37" t="str">
        <f>IF(Table1[[#This Row],[Tipo de Servicio]]="","",Caratula!$D$15)</f>
        <v/>
      </c>
      <c r="B896" s="37" t="str">
        <f>IF(Table1[[#This Row],[Tipo de Servicio]]="","",Caratula!$D$16)</f>
        <v/>
      </c>
      <c r="C896" s="24" t="str">
        <f>IF(Table1[[#This Row],[Tipo de Servicio]]="","",Caratula!$D$17)</f>
        <v/>
      </c>
      <c r="D896" s="38" t="str">
        <f>IF(ISBLANK(Table1[[#This Row],[Tipo de Servicio]]),"",Caratula!$D$16)</f>
        <v/>
      </c>
      <c r="F896" t="str">
        <f>_xlfn.XLOOKUP(Table1[[#This Row],[SelGZ]]&amp;Table1[[#This Row],[Tipo de Servicio]],CatPEP!A:A,CatPEP!C:C,"")</f>
        <v/>
      </c>
      <c r="G896" t="str">
        <f>_xlfn.XLOOKUP(Table1[[#This Row],[PEP]],CatPEP!C:C,CatPEP!D:D,"")</f>
        <v/>
      </c>
      <c r="O896" s="53">
        <f>SUMIF('Registro Refacciones'!B:B, I896, 'Registro Refacciones'!I:I)</f>
        <v>0</v>
      </c>
      <c r="P896" s="26">
        <f>Table1[[#This Row],[Costo Servicio]]+Table1[[#This Row],[Refacciones]]</f>
        <v>0</v>
      </c>
      <c r="Q896" s="26"/>
    </row>
    <row r="897" spans="1:17">
      <c r="A897" s="37" t="str">
        <f>IF(Table1[[#This Row],[Tipo de Servicio]]="","",Caratula!$D$15)</f>
        <v/>
      </c>
      <c r="B897" s="37" t="str">
        <f>IF(Table1[[#This Row],[Tipo de Servicio]]="","",Caratula!$D$16)</f>
        <v/>
      </c>
      <c r="C897" s="24" t="str">
        <f>IF(Table1[[#This Row],[Tipo de Servicio]]="","",Caratula!$D$17)</f>
        <v/>
      </c>
      <c r="D897" s="38" t="str">
        <f>IF(ISBLANK(Table1[[#This Row],[Tipo de Servicio]]),"",Caratula!$D$16)</f>
        <v/>
      </c>
      <c r="F897" t="str">
        <f>_xlfn.XLOOKUP(Table1[[#This Row],[SelGZ]]&amp;Table1[[#This Row],[Tipo de Servicio]],CatPEP!A:A,CatPEP!C:C,"")</f>
        <v/>
      </c>
      <c r="G897" t="str">
        <f>_xlfn.XLOOKUP(Table1[[#This Row],[PEP]],CatPEP!C:C,CatPEP!D:D,"")</f>
        <v/>
      </c>
      <c r="O897" s="53">
        <f>SUMIF('Registro Refacciones'!B:B, I897, 'Registro Refacciones'!I:I)</f>
        <v>0</v>
      </c>
      <c r="P897" s="26">
        <f>Table1[[#This Row],[Costo Servicio]]+Table1[[#This Row],[Refacciones]]</f>
        <v>0</v>
      </c>
      <c r="Q897" s="26"/>
    </row>
    <row r="898" spans="1:17">
      <c r="A898" s="37" t="str">
        <f>IF(Table1[[#This Row],[Tipo de Servicio]]="","",Caratula!$D$15)</f>
        <v/>
      </c>
      <c r="B898" s="37" t="str">
        <f>IF(Table1[[#This Row],[Tipo de Servicio]]="","",Caratula!$D$16)</f>
        <v/>
      </c>
      <c r="C898" s="24" t="str">
        <f>IF(Table1[[#This Row],[Tipo de Servicio]]="","",Caratula!$D$17)</f>
        <v/>
      </c>
      <c r="D898" s="38" t="str">
        <f>IF(ISBLANK(Table1[[#This Row],[Tipo de Servicio]]),"",Caratula!$D$16)</f>
        <v/>
      </c>
      <c r="F898" t="str">
        <f>_xlfn.XLOOKUP(Table1[[#This Row],[SelGZ]]&amp;Table1[[#This Row],[Tipo de Servicio]],CatPEP!A:A,CatPEP!C:C,"")</f>
        <v/>
      </c>
      <c r="G898" t="str">
        <f>_xlfn.XLOOKUP(Table1[[#This Row],[PEP]],CatPEP!C:C,CatPEP!D:D,"")</f>
        <v/>
      </c>
      <c r="O898" s="53">
        <f>SUMIF('Registro Refacciones'!B:B, I898, 'Registro Refacciones'!I:I)</f>
        <v>0</v>
      </c>
      <c r="P898" s="26">
        <f>Table1[[#This Row],[Costo Servicio]]+Table1[[#This Row],[Refacciones]]</f>
        <v>0</v>
      </c>
      <c r="Q898" s="26"/>
    </row>
    <row r="899" spans="1:17">
      <c r="A899" s="37" t="str">
        <f>IF(Table1[[#This Row],[Tipo de Servicio]]="","",Caratula!$D$15)</f>
        <v/>
      </c>
      <c r="B899" s="37" t="str">
        <f>IF(Table1[[#This Row],[Tipo de Servicio]]="","",Caratula!$D$16)</f>
        <v/>
      </c>
      <c r="C899" s="24" t="str">
        <f>IF(Table1[[#This Row],[Tipo de Servicio]]="","",Caratula!$D$17)</f>
        <v/>
      </c>
      <c r="D899" s="38" t="str">
        <f>IF(ISBLANK(Table1[[#This Row],[Tipo de Servicio]]),"",Caratula!$D$16)</f>
        <v/>
      </c>
      <c r="F899" t="str">
        <f>_xlfn.XLOOKUP(Table1[[#This Row],[SelGZ]]&amp;Table1[[#This Row],[Tipo de Servicio]],CatPEP!A:A,CatPEP!C:C,"")</f>
        <v/>
      </c>
      <c r="G899" t="str">
        <f>_xlfn.XLOOKUP(Table1[[#This Row],[PEP]],CatPEP!C:C,CatPEP!D:D,"")</f>
        <v/>
      </c>
      <c r="O899" s="53">
        <f>SUMIF('Registro Refacciones'!B:B, I899, 'Registro Refacciones'!I:I)</f>
        <v>0</v>
      </c>
      <c r="P899" s="26">
        <f>Table1[[#This Row],[Costo Servicio]]+Table1[[#This Row],[Refacciones]]</f>
        <v>0</v>
      </c>
      <c r="Q899" s="26"/>
    </row>
    <row r="900" spans="1:17">
      <c r="A900" s="37" t="str">
        <f>IF(Table1[[#This Row],[Tipo de Servicio]]="","",Caratula!$D$15)</f>
        <v/>
      </c>
      <c r="B900" s="37" t="str">
        <f>IF(Table1[[#This Row],[Tipo de Servicio]]="","",Caratula!$D$16)</f>
        <v/>
      </c>
      <c r="C900" s="24" t="str">
        <f>IF(Table1[[#This Row],[Tipo de Servicio]]="","",Caratula!$D$17)</f>
        <v/>
      </c>
      <c r="D900" s="38" t="str">
        <f>IF(ISBLANK(Table1[[#This Row],[Tipo de Servicio]]),"",Caratula!$D$16)</f>
        <v/>
      </c>
      <c r="F900" t="str">
        <f>_xlfn.XLOOKUP(Table1[[#This Row],[SelGZ]]&amp;Table1[[#This Row],[Tipo de Servicio]],CatPEP!A:A,CatPEP!C:C,"")</f>
        <v/>
      </c>
      <c r="G900" t="str">
        <f>_xlfn.XLOOKUP(Table1[[#This Row],[PEP]],CatPEP!C:C,CatPEP!D:D,"")</f>
        <v/>
      </c>
      <c r="O900" s="53">
        <f>SUMIF('Registro Refacciones'!B:B, I900, 'Registro Refacciones'!I:I)</f>
        <v>0</v>
      </c>
      <c r="P900" s="26">
        <f>Table1[[#This Row],[Costo Servicio]]+Table1[[#This Row],[Refacciones]]</f>
        <v>0</v>
      </c>
      <c r="Q900" s="26"/>
    </row>
    <row r="901" spans="1:17">
      <c r="A901" s="37" t="str">
        <f>IF(Table1[[#This Row],[Tipo de Servicio]]="","",Caratula!$D$15)</f>
        <v/>
      </c>
      <c r="B901" s="37" t="str">
        <f>IF(Table1[[#This Row],[Tipo de Servicio]]="","",Caratula!$D$16)</f>
        <v/>
      </c>
      <c r="C901" s="24" t="str">
        <f>IF(Table1[[#This Row],[Tipo de Servicio]]="","",Caratula!$D$17)</f>
        <v/>
      </c>
      <c r="D901" s="38" t="str">
        <f>IF(ISBLANK(Table1[[#This Row],[Tipo de Servicio]]),"",Caratula!$D$16)</f>
        <v/>
      </c>
      <c r="F901" t="str">
        <f>_xlfn.XLOOKUP(Table1[[#This Row],[SelGZ]]&amp;Table1[[#This Row],[Tipo de Servicio]],CatPEP!A:A,CatPEP!C:C,"")</f>
        <v/>
      </c>
      <c r="G901" t="str">
        <f>_xlfn.XLOOKUP(Table1[[#This Row],[PEP]],CatPEP!C:C,CatPEP!D:D,"")</f>
        <v/>
      </c>
      <c r="O901" s="53">
        <f>SUMIF('Registro Refacciones'!B:B, I901, 'Registro Refacciones'!I:I)</f>
        <v>0</v>
      </c>
      <c r="P901" s="26">
        <f>Table1[[#This Row],[Costo Servicio]]+Table1[[#This Row],[Refacciones]]</f>
        <v>0</v>
      </c>
      <c r="Q901" s="26"/>
    </row>
    <row r="902" spans="1:17">
      <c r="A902" s="37" t="str">
        <f>IF(Table1[[#This Row],[Tipo de Servicio]]="","",Caratula!$D$15)</f>
        <v/>
      </c>
      <c r="B902" s="37" t="str">
        <f>IF(Table1[[#This Row],[Tipo de Servicio]]="","",Caratula!$D$16)</f>
        <v/>
      </c>
      <c r="C902" s="24" t="str">
        <f>IF(Table1[[#This Row],[Tipo de Servicio]]="","",Caratula!$D$17)</f>
        <v/>
      </c>
      <c r="D902" s="38" t="str">
        <f>IF(ISBLANK(Table1[[#This Row],[Tipo de Servicio]]),"",Caratula!$D$16)</f>
        <v/>
      </c>
      <c r="F902" t="str">
        <f>_xlfn.XLOOKUP(Table1[[#This Row],[SelGZ]]&amp;Table1[[#This Row],[Tipo de Servicio]],CatPEP!A:A,CatPEP!C:C,"")</f>
        <v/>
      </c>
      <c r="G902" t="str">
        <f>_xlfn.XLOOKUP(Table1[[#This Row],[PEP]],CatPEP!C:C,CatPEP!D:D,"")</f>
        <v/>
      </c>
      <c r="O902" s="53">
        <f>SUMIF('Registro Refacciones'!B:B, I902, 'Registro Refacciones'!I:I)</f>
        <v>0</v>
      </c>
      <c r="P902" s="26">
        <f>Table1[[#This Row],[Costo Servicio]]+Table1[[#This Row],[Refacciones]]</f>
        <v>0</v>
      </c>
      <c r="Q902" s="26"/>
    </row>
    <row r="903" spans="1:17">
      <c r="A903" s="37" t="str">
        <f>IF(Table1[[#This Row],[Tipo de Servicio]]="","",Caratula!$D$15)</f>
        <v/>
      </c>
      <c r="B903" s="37" t="str">
        <f>IF(Table1[[#This Row],[Tipo de Servicio]]="","",Caratula!$D$16)</f>
        <v/>
      </c>
      <c r="C903" s="24" t="str">
        <f>IF(Table1[[#This Row],[Tipo de Servicio]]="","",Caratula!$D$17)</f>
        <v/>
      </c>
      <c r="D903" s="38" t="str">
        <f>IF(ISBLANK(Table1[[#This Row],[Tipo de Servicio]]),"",Caratula!$D$16)</f>
        <v/>
      </c>
      <c r="F903" t="str">
        <f>_xlfn.XLOOKUP(Table1[[#This Row],[SelGZ]]&amp;Table1[[#This Row],[Tipo de Servicio]],CatPEP!A:A,CatPEP!C:C,"")</f>
        <v/>
      </c>
      <c r="G903" t="str">
        <f>_xlfn.XLOOKUP(Table1[[#This Row],[PEP]],CatPEP!C:C,CatPEP!D:D,"")</f>
        <v/>
      </c>
      <c r="O903" s="53">
        <f>SUMIF('Registro Refacciones'!B:B, I903, 'Registro Refacciones'!I:I)</f>
        <v>0</v>
      </c>
      <c r="P903" s="26">
        <f>Table1[[#This Row],[Costo Servicio]]+Table1[[#This Row],[Refacciones]]</f>
        <v>0</v>
      </c>
      <c r="Q903" s="26"/>
    </row>
    <row r="904" spans="1:17">
      <c r="A904" s="37" t="str">
        <f>IF(Table1[[#This Row],[Tipo de Servicio]]="","",Caratula!$D$15)</f>
        <v/>
      </c>
      <c r="B904" s="37" t="str">
        <f>IF(Table1[[#This Row],[Tipo de Servicio]]="","",Caratula!$D$16)</f>
        <v/>
      </c>
      <c r="C904" s="24" t="str">
        <f>IF(Table1[[#This Row],[Tipo de Servicio]]="","",Caratula!$D$17)</f>
        <v/>
      </c>
      <c r="D904" s="38" t="str">
        <f>IF(ISBLANK(Table1[[#This Row],[Tipo de Servicio]]),"",Caratula!$D$16)</f>
        <v/>
      </c>
      <c r="F904" t="str">
        <f>_xlfn.XLOOKUP(Table1[[#This Row],[SelGZ]]&amp;Table1[[#This Row],[Tipo de Servicio]],CatPEP!A:A,CatPEP!C:C,"")</f>
        <v/>
      </c>
      <c r="G904" t="str">
        <f>_xlfn.XLOOKUP(Table1[[#This Row],[PEP]],CatPEP!C:C,CatPEP!D:D,"")</f>
        <v/>
      </c>
      <c r="O904" s="53">
        <f>SUMIF('Registro Refacciones'!B:B, I904, 'Registro Refacciones'!I:I)</f>
        <v>0</v>
      </c>
      <c r="P904" s="26">
        <f>Table1[[#This Row],[Costo Servicio]]+Table1[[#This Row],[Refacciones]]</f>
        <v>0</v>
      </c>
      <c r="Q904" s="26"/>
    </row>
    <row r="905" spans="1:17">
      <c r="A905" s="37" t="str">
        <f>IF(Table1[[#This Row],[Tipo de Servicio]]="","",Caratula!$D$15)</f>
        <v/>
      </c>
      <c r="B905" s="37" t="str">
        <f>IF(Table1[[#This Row],[Tipo de Servicio]]="","",Caratula!$D$16)</f>
        <v/>
      </c>
      <c r="C905" s="24" t="str">
        <f>IF(Table1[[#This Row],[Tipo de Servicio]]="","",Caratula!$D$17)</f>
        <v/>
      </c>
      <c r="D905" s="38" t="str">
        <f>IF(ISBLANK(Table1[[#This Row],[Tipo de Servicio]]),"",Caratula!$D$16)</f>
        <v/>
      </c>
      <c r="F905" t="str">
        <f>_xlfn.XLOOKUP(Table1[[#This Row],[SelGZ]]&amp;Table1[[#This Row],[Tipo de Servicio]],CatPEP!A:A,CatPEP!C:C,"")</f>
        <v/>
      </c>
      <c r="G905" t="str">
        <f>_xlfn.XLOOKUP(Table1[[#This Row],[PEP]],CatPEP!C:C,CatPEP!D:D,"")</f>
        <v/>
      </c>
      <c r="O905" s="53">
        <f>SUMIF('Registro Refacciones'!B:B, I905, 'Registro Refacciones'!I:I)</f>
        <v>0</v>
      </c>
      <c r="P905" s="26">
        <f>Table1[[#This Row],[Costo Servicio]]+Table1[[#This Row],[Refacciones]]</f>
        <v>0</v>
      </c>
      <c r="Q905" s="26"/>
    </row>
    <row r="906" spans="1:17">
      <c r="A906" s="37" t="str">
        <f>IF(Table1[[#This Row],[Tipo de Servicio]]="","",Caratula!$D$15)</f>
        <v/>
      </c>
      <c r="B906" s="37" t="str">
        <f>IF(Table1[[#This Row],[Tipo de Servicio]]="","",Caratula!$D$16)</f>
        <v/>
      </c>
      <c r="C906" s="24" t="str">
        <f>IF(Table1[[#This Row],[Tipo de Servicio]]="","",Caratula!$D$17)</f>
        <v/>
      </c>
      <c r="D906" s="38" t="str">
        <f>IF(ISBLANK(Table1[[#This Row],[Tipo de Servicio]]),"",Caratula!$D$16)</f>
        <v/>
      </c>
      <c r="F906" t="str">
        <f>_xlfn.XLOOKUP(Table1[[#This Row],[SelGZ]]&amp;Table1[[#This Row],[Tipo de Servicio]],CatPEP!A:A,CatPEP!C:C,"")</f>
        <v/>
      </c>
      <c r="G906" t="str">
        <f>_xlfn.XLOOKUP(Table1[[#This Row],[PEP]],CatPEP!C:C,CatPEP!D:D,"")</f>
        <v/>
      </c>
      <c r="O906" s="53">
        <f>SUMIF('Registro Refacciones'!B:B, I906, 'Registro Refacciones'!I:I)</f>
        <v>0</v>
      </c>
      <c r="P906" s="26">
        <f>Table1[[#This Row],[Costo Servicio]]+Table1[[#This Row],[Refacciones]]</f>
        <v>0</v>
      </c>
      <c r="Q906" s="26"/>
    </row>
    <row r="907" spans="1:17">
      <c r="A907" s="37" t="str">
        <f>IF(Table1[[#This Row],[Tipo de Servicio]]="","",Caratula!$D$15)</f>
        <v/>
      </c>
      <c r="B907" s="37" t="str">
        <f>IF(Table1[[#This Row],[Tipo de Servicio]]="","",Caratula!$D$16)</f>
        <v/>
      </c>
      <c r="C907" s="24" t="str">
        <f>IF(Table1[[#This Row],[Tipo de Servicio]]="","",Caratula!$D$17)</f>
        <v/>
      </c>
      <c r="D907" s="38" t="str">
        <f>IF(ISBLANK(Table1[[#This Row],[Tipo de Servicio]]),"",Caratula!$D$16)</f>
        <v/>
      </c>
      <c r="F907" t="str">
        <f>_xlfn.XLOOKUP(Table1[[#This Row],[SelGZ]]&amp;Table1[[#This Row],[Tipo de Servicio]],CatPEP!A:A,CatPEP!C:C,"")</f>
        <v/>
      </c>
      <c r="G907" t="str">
        <f>_xlfn.XLOOKUP(Table1[[#This Row],[PEP]],CatPEP!C:C,CatPEP!D:D,"")</f>
        <v/>
      </c>
      <c r="O907" s="53">
        <f>SUMIF('Registro Refacciones'!B:B, I907, 'Registro Refacciones'!I:I)</f>
        <v>0</v>
      </c>
      <c r="P907" s="26">
        <f>Table1[[#This Row],[Costo Servicio]]+Table1[[#This Row],[Refacciones]]</f>
        <v>0</v>
      </c>
      <c r="Q907" s="26"/>
    </row>
    <row r="908" spans="1:17">
      <c r="A908" s="37" t="str">
        <f>IF(Table1[[#This Row],[Tipo de Servicio]]="","",Caratula!$D$15)</f>
        <v/>
      </c>
      <c r="B908" s="37" t="str">
        <f>IF(Table1[[#This Row],[Tipo de Servicio]]="","",Caratula!$D$16)</f>
        <v/>
      </c>
      <c r="C908" s="24" t="str">
        <f>IF(Table1[[#This Row],[Tipo de Servicio]]="","",Caratula!$D$17)</f>
        <v/>
      </c>
      <c r="D908" s="38" t="str">
        <f>IF(ISBLANK(Table1[[#This Row],[Tipo de Servicio]]),"",Caratula!$D$16)</f>
        <v/>
      </c>
      <c r="F908" t="str">
        <f>_xlfn.XLOOKUP(Table1[[#This Row],[SelGZ]]&amp;Table1[[#This Row],[Tipo de Servicio]],CatPEP!A:A,CatPEP!C:C,"")</f>
        <v/>
      </c>
      <c r="G908" t="str">
        <f>_xlfn.XLOOKUP(Table1[[#This Row],[PEP]],CatPEP!C:C,CatPEP!D:D,"")</f>
        <v/>
      </c>
      <c r="O908" s="53">
        <f>SUMIF('Registro Refacciones'!B:B, I908, 'Registro Refacciones'!I:I)</f>
        <v>0</v>
      </c>
      <c r="P908" s="26">
        <f>Table1[[#This Row],[Costo Servicio]]+Table1[[#This Row],[Refacciones]]</f>
        <v>0</v>
      </c>
      <c r="Q908" s="26"/>
    </row>
    <row r="909" spans="1:17">
      <c r="A909" s="37" t="str">
        <f>IF(Table1[[#This Row],[Tipo de Servicio]]="","",Caratula!$D$15)</f>
        <v/>
      </c>
      <c r="B909" s="37" t="str">
        <f>IF(Table1[[#This Row],[Tipo de Servicio]]="","",Caratula!$D$16)</f>
        <v/>
      </c>
      <c r="C909" s="24" t="str">
        <f>IF(Table1[[#This Row],[Tipo de Servicio]]="","",Caratula!$D$17)</f>
        <v/>
      </c>
      <c r="D909" s="38" t="str">
        <f>IF(ISBLANK(Table1[[#This Row],[Tipo de Servicio]]),"",Caratula!$D$16)</f>
        <v/>
      </c>
      <c r="F909" t="str">
        <f>_xlfn.XLOOKUP(Table1[[#This Row],[SelGZ]]&amp;Table1[[#This Row],[Tipo de Servicio]],CatPEP!A:A,CatPEP!C:C,"")</f>
        <v/>
      </c>
      <c r="G909" t="str">
        <f>_xlfn.XLOOKUP(Table1[[#This Row],[PEP]],CatPEP!C:C,CatPEP!D:D,"")</f>
        <v/>
      </c>
      <c r="O909" s="53">
        <f>SUMIF('Registro Refacciones'!B:B, I909, 'Registro Refacciones'!I:I)</f>
        <v>0</v>
      </c>
      <c r="P909" s="26">
        <f>Table1[[#This Row],[Costo Servicio]]+Table1[[#This Row],[Refacciones]]</f>
        <v>0</v>
      </c>
      <c r="Q909" s="26"/>
    </row>
    <row r="910" spans="1:17">
      <c r="A910" s="37" t="str">
        <f>IF(Table1[[#This Row],[Tipo de Servicio]]="","",Caratula!$D$15)</f>
        <v/>
      </c>
      <c r="B910" s="37" t="str">
        <f>IF(Table1[[#This Row],[Tipo de Servicio]]="","",Caratula!$D$16)</f>
        <v/>
      </c>
      <c r="C910" s="24" t="str">
        <f>IF(Table1[[#This Row],[Tipo de Servicio]]="","",Caratula!$D$17)</f>
        <v/>
      </c>
      <c r="D910" s="38" t="str">
        <f>IF(ISBLANK(Table1[[#This Row],[Tipo de Servicio]]),"",Caratula!$D$16)</f>
        <v/>
      </c>
      <c r="F910" t="str">
        <f>_xlfn.XLOOKUP(Table1[[#This Row],[SelGZ]]&amp;Table1[[#This Row],[Tipo de Servicio]],CatPEP!A:A,CatPEP!C:C,"")</f>
        <v/>
      </c>
      <c r="G910" t="str">
        <f>_xlfn.XLOOKUP(Table1[[#This Row],[PEP]],CatPEP!C:C,CatPEP!D:D,"")</f>
        <v/>
      </c>
      <c r="O910" s="53">
        <f>SUMIF('Registro Refacciones'!B:B, I910, 'Registro Refacciones'!I:I)</f>
        <v>0</v>
      </c>
      <c r="P910" s="26">
        <f>Table1[[#This Row],[Costo Servicio]]+Table1[[#This Row],[Refacciones]]</f>
        <v>0</v>
      </c>
      <c r="Q910" s="26"/>
    </row>
    <row r="911" spans="1:17">
      <c r="A911" s="37" t="str">
        <f>IF(Table1[[#This Row],[Tipo de Servicio]]="","",Caratula!$D$15)</f>
        <v/>
      </c>
      <c r="B911" s="37" t="str">
        <f>IF(Table1[[#This Row],[Tipo de Servicio]]="","",Caratula!$D$16)</f>
        <v/>
      </c>
      <c r="C911" s="24" t="str">
        <f>IF(Table1[[#This Row],[Tipo de Servicio]]="","",Caratula!$D$17)</f>
        <v/>
      </c>
      <c r="D911" s="38" t="str">
        <f>IF(ISBLANK(Table1[[#This Row],[Tipo de Servicio]]),"",Caratula!$D$16)</f>
        <v/>
      </c>
      <c r="F911" t="str">
        <f>_xlfn.XLOOKUP(Table1[[#This Row],[SelGZ]]&amp;Table1[[#This Row],[Tipo de Servicio]],CatPEP!A:A,CatPEP!C:C,"")</f>
        <v/>
      </c>
      <c r="G911" t="str">
        <f>_xlfn.XLOOKUP(Table1[[#This Row],[PEP]],CatPEP!C:C,CatPEP!D:D,"")</f>
        <v/>
      </c>
      <c r="O911" s="53">
        <f>SUMIF('Registro Refacciones'!B:B, I911, 'Registro Refacciones'!I:I)</f>
        <v>0</v>
      </c>
      <c r="P911" s="26">
        <f>Table1[[#This Row],[Costo Servicio]]+Table1[[#This Row],[Refacciones]]</f>
        <v>0</v>
      </c>
      <c r="Q911" s="26"/>
    </row>
    <row r="912" spans="1:17">
      <c r="A912" s="37" t="str">
        <f>IF(Table1[[#This Row],[Tipo de Servicio]]="","",Caratula!$D$15)</f>
        <v/>
      </c>
      <c r="B912" s="37" t="str">
        <f>IF(Table1[[#This Row],[Tipo de Servicio]]="","",Caratula!$D$16)</f>
        <v/>
      </c>
      <c r="C912" s="24" t="str">
        <f>IF(Table1[[#This Row],[Tipo de Servicio]]="","",Caratula!$D$17)</f>
        <v/>
      </c>
      <c r="D912" s="38" t="str">
        <f>IF(ISBLANK(Table1[[#This Row],[Tipo de Servicio]]),"",Caratula!$D$16)</f>
        <v/>
      </c>
      <c r="F912" t="str">
        <f>_xlfn.XLOOKUP(Table1[[#This Row],[SelGZ]]&amp;Table1[[#This Row],[Tipo de Servicio]],CatPEP!A:A,CatPEP!C:C,"")</f>
        <v/>
      </c>
      <c r="G912" t="str">
        <f>_xlfn.XLOOKUP(Table1[[#This Row],[PEP]],CatPEP!C:C,CatPEP!D:D,"")</f>
        <v/>
      </c>
      <c r="O912" s="53">
        <f>SUMIF('Registro Refacciones'!B:B, I912, 'Registro Refacciones'!I:I)</f>
        <v>0</v>
      </c>
      <c r="P912" s="26">
        <f>Table1[[#This Row],[Costo Servicio]]+Table1[[#This Row],[Refacciones]]</f>
        <v>0</v>
      </c>
      <c r="Q912" s="26"/>
    </row>
    <row r="913" spans="1:17">
      <c r="A913" s="37" t="str">
        <f>IF(Table1[[#This Row],[Tipo de Servicio]]="","",Caratula!$D$15)</f>
        <v/>
      </c>
      <c r="B913" s="37" t="str">
        <f>IF(Table1[[#This Row],[Tipo de Servicio]]="","",Caratula!$D$16)</f>
        <v/>
      </c>
      <c r="C913" s="24" t="str">
        <f>IF(Table1[[#This Row],[Tipo de Servicio]]="","",Caratula!$D$17)</f>
        <v/>
      </c>
      <c r="D913" s="38" t="str">
        <f>IF(ISBLANK(Table1[[#This Row],[Tipo de Servicio]]),"",Caratula!$D$16)</f>
        <v/>
      </c>
      <c r="F913" t="str">
        <f>_xlfn.XLOOKUP(Table1[[#This Row],[SelGZ]]&amp;Table1[[#This Row],[Tipo de Servicio]],CatPEP!A:A,CatPEP!C:C,"")</f>
        <v/>
      </c>
      <c r="G913" t="str">
        <f>_xlfn.XLOOKUP(Table1[[#This Row],[PEP]],CatPEP!C:C,CatPEP!D:D,"")</f>
        <v/>
      </c>
      <c r="O913" s="53">
        <f>SUMIF('Registro Refacciones'!B:B, I913, 'Registro Refacciones'!I:I)</f>
        <v>0</v>
      </c>
      <c r="P913" s="26">
        <f>Table1[[#This Row],[Costo Servicio]]+Table1[[#This Row],[Refacciones]]</f>
        <v>0</v>
      </c>
      <c r="Q913" s="26"/>
    </row>
    <row r="914" spans="1:17">
      <c r="A914" s="37" t="str">
        <f>IF(Table1[[#This Row],[Tipo de Servicio]]="","",Caratula!$D$15)</f>
        <v/>
      </c>
      <c r="B914" s="37" t="str">
        <f>IF(Table1[[#This Row],[Tipo de Servicio]]="","",Caratula!$D$16)</f>
        <v/>
      </c>
      <c r="C914" s="24" t="str">
        <f>IF(Table1[[#This Row],[Tipo de Servicio]]="","",Caratula!$D$17)</f>
        <v/>
      </c>
      <c r="D914" s="38" t="str">
        <f>IF(ISBLANK(Table1[[#This Row],[Tipo de Servicio]]),"",Caratula!$D$16)</f>
        <v/>
      </c>
      <c r="F914" t="str">
        <f>_xlfn.XLOOKUP(Table1[[#This Row],[SelGZ]]&amp;Table1[[#This Row],[Tipo de Servicio]],CatPEP!A:A,CatPEP!C:C,"")</f>
        <v/>
      </c>
      <c r="G914" t="str">
        <f>_xlfn.XLOOKUP(Table1[[#This Row],[PEP]],CatPEP!C:C,CatPEP!D:D,"")</f>
        <v/>
      </c>
      <c r="O914" s="53">
        <f>SUMIF('Registro Refacciones'!B:B, I914, 'Registro Refacciones'!I:I)</f>
        <v>0</v>
      </c>
      <c r="P914" s="26">
        <f>Table1[[#This Row],[Costo Servicio]]+Table1[[#This Row],[Refacciones]]</f>
        <v>0</v>
      </c>
      <c r="Q914" s="26"/>
    </row>
    <row r="915" spans="1:17">
      <c r="A915" s="37" t="str">
        <f>IF(Table1[[#This Row],[Tipo de Servicio]]="","",Caratula!$D$15)</f>
        <v/>
      </c>
      <c r="B915" s="37" t="str">
        <f>IF(Table1[[#This Row],[Tipo de Servicio]]="","",Caratula!$D$16)</f>
        <v/>
      </c>
      <c r="C915" s="24" t="str">
        <f>IF(Table1[[#This Row],[Tipo de Servicio]]="","",Caratula!$D$17)</f>
        <v/>
      </c>
      <c r="D915" s="38" t="str">
        <f>IF(ISBLANK(Table1[[#This Row],[Tipo de Servicio]]),"",Caratula!$D$16)</f>
        <v/>
      </c>
      <c r="F915" t="str">
        <f>_xlfn.XLOOKUP(Table1[[#This Row],[SelGZ]]&amp;Table1[[#This Row],[Tipo de Servicio]],CatPEP!A:A,CatPEP!C:C,"")</f>
        <v/>
      </c>
      <c r="G915" t="str">
        <f>_xlfn.XLOOKUP(Table1[[#This Row],[PEP]],CatPEP!C:C,CatPEP!D:D,"")</f>
        <v/>
      </c>
      <c r="O915" s="53">
        <f>SUMIF('Registro Refacciones'!B:B, I915, 'Registro Refacciones'!I:I)</f>
        <v>0</v>
      </c>
      <c r="P915" s="26">
        <f>Table1[[#This Row],[Costo Servicio]]+Table1[[#This Row],[Refacciones]]</f>
        <v>0</v>
      </c>
      <c r="Q915" s="26"/>
    </row>
    <row r="916" spans="1:17">
      <c r="A916" s="37" t="str">
        <f>IF(Table1[[#This Row],[Tipo de Servicio]]="","",Caratula!$D$15)</f>
        <v/>
      </c>
      <c r="B916" s="37" t="str">
        <f>IF(Table1[[#This Row],[Tipo de Servicio]]="","",Caratula!$D$16)</f>
        <v/>
      </c>
      <c r="C916" s="24" t="str">
        <f>IF(Table1[[#This Row],[Tipo de Servicio]]="","",Caratula!$D$17)</f>
        <v/>
      </c>
      <c r="D916" s="38" t="str">
        <f>IF(ISBLANK(Table1[[#This Row],[Tipo de Servicio]]),"",Caratula!$D$16)</f>
        <v/>
      </c>
      <c r="F916" t="str">
        <f>_xlfn.XLOOKUP(Table1[[#This Row],[SelGZ]]&amp;Table1[[#This Row],[Tipo de Servicio]],CatPEP!A:A,CatPEP!C:C,"")</f>
        <v/>
      </c>
      <c r="G916" t="str">
        <f>_xlfn.XLOOKUP(Table1[[#This Row],[PEP]],CatPEP!C:C,CatPEP!D:D,"")</f>
        <v/>
      </c>
      <c r="O916" s="53">
        <f>SUMIF('Registro Refacciones'!B:B, I916, 'Registro Refacciones'!I:I)</f>
        <v>0</v>
      </c>
      <c r="P916" s="26">
        <f>Table1[[#This Row],[Costo Servicio]]+Table1[[#This Row],[Refacciones]]</f>
        <v>0</v>
      </c>
      <c r="Q916" s="26"/>
    </row>
    <row r="917" spans="1:17">
      <c r="A917" s="37" t="str">
        <f>IF(Table1[[#This Row],[Tipo de Servicio]]="","",Caratula!$D$15)</f>
        <v/>
      </c>
      <c r="B917" s="37" t="str">
        <f>IF(Table1[[#This Row],[Tipo de Servicio]]="","",Caratula!$D$16)</f>
        <v/>
      </c>
      <c r="C917" s="24" t="str">
        <f>IF(Table1[[#This Row],[Tipo de Servicio]]="","",Caratula!$D$17)</f>
        <v/>
      </c>
      <c r="D917" s="38" t="str">
        <f>IF(ISBLANK(Table1[[#This Row],[Tipo de Servicio]]),"",Caratula!$D$16)</f>
        <v/>
      </c>
      <c r="F917" t="str">
        <f>_xlfn.XLOOKUP(Table1[[#This Row],[SelGZ]]&amp;Table1[[#This Row],[Tipo de Servicio]],CatPEP!A:A,CatPEP!C:C,"")</f>
        <v/>
      </c>
      <c r="G917" t="str">
        <f>_xlfn.XLOOKUP(Table1[[#This Row],[PEP]],CatPEP!C:C,CatPEP!D:D,"")</f>
        <v/>
      </c>
      <c r="O917" s="53">
        <f>SUMIF('Registro Refacciones'!B:B, I917, 'Registro Refacciones'!I:I)</f>
        <v>0</v>
      </c>
      <c r="P917" s="26">
        <f>Table1[[#This Row],[Costo Servicio]]+Table1[[#This Row],[Refacciones]]</f>
        <v>0</v>
      </c>
      <c r="Q917" s="26"/>
    </row>
    <row r="918" spans="1:17">
      <c r="A918" s="37" t="str">
        <f>IF(Table1[[#This Row],[Tipo de Servicio]]="","",Caratula!$D$15)</f>
        <v/>
      </c>
      <c r="B918" s="37" t="str">
        <f>IF(Table1[[#This Row],[Tipo de Servicio]]="","",Caratula!$D$16)</f>
        <v/>
      </c>
      <c r="C918" s="24" t="str">
        <f>IF(Table1[[#This Row],[Tipo de Servicio]]="","",Caratula!$D$17)</f>
        <v/>
      </c>
      <c r="D918" s="38" t="str">
        <f>IF(ISBLANK(Table1[[#This Row],[Tipo de Servicio]]),"",Caratula!$D$16)</f>
        <v/>
      </c>
      <c r="F918" t="str">
        <f>_xlfn.XLOOKUP(Table1[[#This Row],[SelGZ]]&amp;Table1[[#This Row],[Tipo de Servicio]],CatPEP!A:A,CatPEP!C:C,"")</f>
        <v/>
      </c>
      <c r="G918" t="str">
        <f>_xlfn.XLOOKUP(Table1[[#This Row],[PEP]],CatPEP!C:C,CatPEP!D:D,"")</f>
        <v/>
      </c>
      <c r="O918" s="53">
        <f>SUMIF('Registro Refacciones'!B:B, I918, 'Registro Refacciones'!I:I)</f>
        <v>0</v>
      </c>
      <c r="P918" s="26">
        <f>Table1[[#This Row],[Costo Servicio]]+Table1[[#This Row],[Refacciones]]</f>
        <v>0</v>
      </c>
      <c r="Q918" s="26"/>
    </row>
    <row r="919" spans="1:17">
      <c r="A919" s="37" t="str">
        <f>IF(Table1[[#This Row],[Tipo de Servicio]]="","",Caratula!$D$15)</f>
        <v/>
      </c>
      <c r="B919" s="37" t="str">
        <f>IF(Table1[[#This Row],[Tipo de Servicio]]="","",Caratula!$D$16)</f>
        <v/>
      </c>
      <c r="C919" s="24" t="str">
        <f>IF(Table1[[#This Row],[Tipo de Servicio]]="","",Caratula!$D$17)</f>
        <v/>
      </c>
      <c r="D919" s="38" t="str">
        <f>IF(ISBLANK(Table1[[#This Row],[Tipo de Servicio]]),"",Caratula!$D$16)</f>
        <v/>
      </c>
      <c r="F919" t="str">
        <f>_xlfn.XLOOKUP(Table1[[#This Row],[SelGZ]]&amp;Table1[[#This Row],[Tipo de Servicio]],CatPEP!A:A,CatPEP!C:C,"")</f>
        <v/>
      </c>
      <c r="G919" t="str">
        <f>_xlfn.XLOOKUP(Table1[[#This Row],[PEP]],CatPEP!C:C,CatPEP!D:D,"")</f>
        <v/>
      </c>
      <c r="O919" s="53">
        <f>SUMIF('Registro Refacciones'!B:B, I919, 'Registro Refacciones'!I:I)</f>
        <v>0</v>
      </c>
      <c r="P919" s="26">
        <f>Table1[[#This Row],[Costo Servicio]]+Table1[[#This Row],[Refacciones]]</f>
        <v>0</v>
      </c>
      <c r="Q919" s="26"/>
    </row>
    <row r="920" spans="1:17">
      <c r="A920" s="37" t="str">
        <f>IF(Table1[[#This Row],[Tipo de Servicio]]="","",Caratula!$D$15)</f>
        <v/>
      </c>
      <c r="B920" s="37" t="str">
        <f>IF(Table1[[#This Row],[Tipo de Servicio]]="","",Caratula!$D$16)</f>
        <v/>
      </c>
      <c r="C920" s="24" t="str">
        <f>IF(Table1[[#This Row],[Tipo de Servicio]]="","",Caratula!$D$17)</f>
        <v/>
      </c>
      <c r="D920" s="38" t="str">
        <f>IF(ISBLANK(Table1[[#This Row],[Tipo de Servicio]]),"",Caratula!$D$16)</f>
        <v/>
      </c>
      <c r="F920" t="str">
        <f>_xlfn.XLOOKUP(Table1[[#This Row],[SelGZ]]&amp;Table1[[#This Row],[Tipo de Servicio]],CatPEP!A:A,CatPEP!C:C,"")</f>
        <v/>
      </c>
      <c r="G920" t="str">
        <f>_xlfn.XLOOKUP(Table1[[#This Row],[PEP]],CatPEP!C:C,CatPEP!D:D,"")</f>
        <v/>
      </c>
      <c r="O920" s="53">
        <f>SUMIF('Registro Refacciones'!B:B, I920, 'Registro Refacciones'!I:I)</f>
        <v>0</v>
      </c>
      <c r="P920" s="26">
        <f>Table1[[#This Row],[Costo Servicio]]+Table1[[#This Row],[Refacciones]]</f>
        <v>0</v>
      </c>
      <c r="Q920" s="26"/>
    </row>
    <row r="921" spans="1:17">
      <c r="A921" s="37" t="str">
        <f>IF(Table1[[#This Row],[Tipo de Servicio]]="","",Caratula!$D$15)</f>
        <v/>
      </c>
      <c r="B921" s="37" t="str">
        <f>IF(Table1[[#This Row],[Tipo de Servicio]]="","",Caratula!$D$16)</f>
        <v/>
      </c>
      <c r="C921" s="24" t="str">
        <f>IF(Table1[[#This Row],[Tipo de Servicio]]="","",Caratula!$D$17)</f>
        <v/>
      </c>
      <c r="D921" s="38" t="str">
        <f>IF(ISBLANK(Table1[[#This Row],[Tipo de Servicio]]),"",Caratula!$D$16)</f>
        <v/>
      </c>
      <c r="F921" t="str">
        <f>_xlfn.XLOOKUP(Table1[[#This Row],[SelGZ]]&amp;Table1[[#This Row],[Tipo de Servicio]],CatPEP!A:A,CatPEP!C:C,"")</f>
        <v/>
      </c>
      <c r="G921" t="str">
        <f>_xlfn.XLOOKUP(Table1[[#This Row],[PEP]],CatPEP!C:C,CatPEP!D:D,"")</f>
        <v/>
      </c>
      <c r="O921" s="53">
        <f>SUMIF('Registro Refacciones'!B:B, I921, 'Registro Refacciones'!I:I)</f>
        <v>0</v>
      </c>
      <c r="P921" s="26">
        <f>Table1[[#This Row],[Costo Servicio]]+Table1[[#This Row],[Refacciones]]</f>
        <v>0</v>
      </c>
      <c r="Q921" s="26"/>
    </row>
    <row r="922" spans="1:17">
      <c r="A922" s="37" t="str">
        <f>IF(Table1[[#This Row],[Tipo de Servicio]]="","",Caratula!$D$15)</f>
        <v/>
      </c>
      <c r="B922" s="37" t="str">
        <f>IF(Table1[[#This Row],[Tipo de Servicio]]="","",Caratula!$D$16)</f>
        <v/>
      </c>
      <c r="C922" s="24" t="str">
        <f>IF(Table1[[#This Row],[Tipo de Servicio]]="","",Caratula!$D$17)</f>
        <v/>
      </c>
      <c r="D922" s="38" t="str">
        <f>IF(ISBLANK(Table1[[#This Row],[Tipo de Servicio]]),"",Caratula!$D$16)</f>
        <v/>
      </c>
      <c r="F922" t="str">
        <f>_xlfn.XLOOKUP(Table1[[#This Row],[SelGZ]]&amp;Table1[[#This Row],[Tipo de Servicio]],CatPEP!A:A,CatPEP!C:C,"")</f>
        <v/>
      </c>
      <c r="G922" t="str">
        <f>_xlfn.XLOOKUP(Table1[[#This Row],[PEP]],CatPEP!C:C,CatPEP!D:D,"")</f>
        <v/>
      </c>
      <c r="O922" s="53">
        <f>SUMIF('Registro Refacciones'!B:B, I922, 'Registro Refacciones'!I:I)</f>
        <v>0</v>
      </c>
      <c r="P922" s="26">
        <f>Table1[[#This Row],[Costo Servicio]]+Table1[[#This Row],[Refacciones]]</f>
        <v>0</v>
      </c>
      <c r="Q922" s="26"/>
    </row>
    <row r="923" spans="1:17">
      <c r="A923" s="37" t="str">
        <f>IF(Table1[[#This Row],[Tipo de Servicio]]="","",Caratula!$D$15)</f>
        <v/>
      </c>
      <c r="B923" s="37" t="str">
        <f>IF(Table1[[#This Row],[Tipo de Servicio]]="","",Caratula!$D$16)</f>
        <v/>
      </c>
      <c r="C923" s="24" t="str">
        <f>IF(Table1[[#This Row],[Tipo de Servicio]]="","",Caratula!$D$17)</f>
        <v/>
      </c>
      <c r="D923" s="38" t="str">
        <f>IF(ISBLANK(Table1[[#This Row],[Tipo de Servicio]]),"",Caratula!$D$16)</f>
        <v/>
      </c>
      <c r="F923" t="str">
        <f>_xlfn.XLOOKUP(Table1[[#This Row],[SelGZ]]&amp;Table1[[#This Row],[Tipo de Servicio]],CatPEP!A:A,CatPEP!C:C,"")</f>
        <v/>
      </c>
      <c r="G923" t="str">
        <f>_xlfn.XLOOKUP(Table1[[#This Row],[PEP]],CatPEP!C:C,CatPEP!D:D,"")</f>
        <v/>
      </c>
      <c r="O923" s="53">
        <f>SUMIF('Registro Refacciones'!B:B, I923, 'Registro Refacciones'!I:I)</f>
        <v>0</v>
      </c>
      <c r="P923" s="26">
        <f>Table1[[#This Row],[Costo Servicio]]+Table1[[#This Row],[Refacciones]]</f>
        <v>0</v>
      </c>
      <c r="Q923" s="26"/>
    </row>
    <row r="924" spans="1:17">
      <c r="A924" s="37" t="str">
        <f>IF(Table1[[#This Row],[Tipo de Servicio]]="","",Caratula!$D$15)</f>
        <v/>
      </c>
      <c r="B924" s="37" t="str">
        <f>IF(Table1[[#This Row],[Tipo de Servicio]]="","",Caratula!$D$16)</f>
        <v/>
      </c>
      <c r="C924" s="24" t="str">
        <f>IF(Table1[[#This Row],[Tipo de Servicio]]="","",Caratula!$D$17)</f>
        <v/>
      </c>
      <c r="D924" s="38" t="str">
        <f>IF(ISBLANK(Table1[[#This Row],[Tipo de Servicio]]),"",Caratula!$D$16)</f>
        <v/>
      </c>
      <c r="F924" t="str">
        <f>_xlfn.XLOOKUP(Table1[[#This Row],[SelGZ]]&amp;Table1[[#This Row],[Tipo de Servicio]],CatPEP!A:A,CatPEP!C:C,"")</f>
        <v/>
      </c>
      <c r="G924" t="str">
        <f>_xlfn.XLOOKUP(Table1[[#This Row],[PEP]],CatPEP!C:C,CatPEP!D:D,"")</f>
        <v/>
      </c>
      <c r="O924" s="53">
        <f>SUMIF('Registro Refacciones'!B:B, I924, 'Registro Refacciones'!I:I)</f>
        <v>0</v>
      </c>
      <c r="P924" s="26">
        <f>Table1[[#This Row],[Costo Servicio]]+Table1[[#This Row],[Refacciones]]</f>
        <v>0</v>
      </c>
      <c r="Q924" s="26"/>
    </row>
    <row r="925" spans="1:17">
      <c r="A925" s="37" t="str">
        <f>IF(Table1[[#This Row],[Tipo de Servicio]]="","",Caratula!$D$15)</f>
        <v/>
      </c>
      <c r="B925" s="37" t="str">
        <f>IF(Table1[[#This Row],[Tipo de Servicio]]="","",Caratula!$D$16)</f>
        <v/>
      </c>
      <c r="C925" s="24" t="str">
        <f>IF(Table1[[#This Row],[Tipo de Servicio]]="","",Caratula!$D$17)</f>
        <v/>
      </c>
      <c r="D925" s="38" t="str">
        <f>IF(ISBLANK(Table1[[#This Row],[Tipo de Servicio]]),"",Caratula!$D$16)</f>
        <v/>
      </c>
      <c r="F925" t="str">
        <f>_xlfn.XLOOKUP(Table1[[#This Row],[SelGZ]]&amp;Table1[[#This Row],[Tipo de Servicio]],CatPEP!A:A,CatPEP!C:C,"")</f>
        <v/>
      </c>
      <c r="G925" t="str">
        <f>_xlfn.XLOOKUP(Table1[[#This Row],[PEP]],CatPEP!C:C,CatPEP!D:D,"")</f>
        <v/>
      </c>
      <c r="O925" s="53">
        <f>SUMIF('Registro Refacciones'!B:B, I925, 'Registro Refacciones'!I:I)</f>
        <v>0</v>
      </c>
      <c r="P925" s="26">
        <f>Table1[[#This Row],[Costo Servicio]]+Table1[[#This Row],[Refacciones]]</f>
        <v>0</v>
      </c>
      <c r="Q925" s="26"/>
    </row>
    <row r="926" spans="1:17">
      <c r="A926" s="37" t="str">
        <f>IF(Table1[[#This Row],[Tipo de Servicio]]="","",Caratula!$D$15)</f>
        <v/>
      </c>
      <c r="B926" s="37" t="str">
        <f>IF(Table1[[#This Row],[Tipo de Servicio]]="","",Caratula!$D$16)</f>
        <v/>
      </c>
      <c r="C926" s="24" t="str">
        <f>IF(Table1[[#This Row],[Tipo de Servicio]]="","",Caratula!$D$17)</f>
        <v/>
      </c>
      <c r="D926" s="38" t="str">
        <f>IF(ISBLANK(Table1[[#This Row],[Tipo de Servicio]]),"",Caratula!$D$16)</f>
        <v/>
      </c>
      <c r="F926" t="str">
        <f>_xlfn.XLOOKUP(Table1[[#This Row],[SelGZ]]&amp;Table1[[#This Row],[Tipo de Servicio]],CatPEP!A:A,CatPEP!C:C,"")</f>
        <v/>
      </c>
      <c r="G926" t="str">
        <f>_xlfn.XLOOKUP(Table1[[#This Row],[PEP]],CatPEP!C:C,CatPEP!D:D,"")</f>
        <v/>
      </c>
      <c r="O926" s="53">
        <f>SUMIF('Registro Refacciones'!B:B, I926, 'Registro Refacciones'!I:I)</f>
        <v>0</v>
      </c>
      <c r="P926" s="26">
        <f>Table1[[#This Row],[Costo Servicio]]+Table1[[#This Row],[Refacciones]]</f>
        <v>0</v>
      </c>
      <c r="Q926" s="26"/>
    </row>
    <row r="927" spans="1:17">
      <c r="A927" s="37" t="str">
        <f>IF(Table1[[#This Row],[Tipo de Servicio]]="","",Caratula!$D$15)</f>
        <v/>
      </c>
      <c r="B927" s="37" t="str">
        <f>IF(Table1[[#This Row],[Tipo de Servicio]]="","",Caratula!$D$16)</f>
        <v/>
      </c>
      <c r="C927" s="24" t="str">
        <f>IF(Table1[[#This Row],[Tipo de Servicio]]="","",Caratula!$D$17)</f>
        <v/>
      </c>
      <c r="D927" s="38" t="str">
        <f>IF(ISBLANK(Table1[[#This Row],[Tipo de Servicio]]),"",Caratula!$D$16)</f>
        <v/>
      </c>
      <c r="F927" t="str">
        <f>_xlfn.XLOOKUP(Table1[[#This Row],[SelGZ]]&amp;Table1[[#This Row],[Tipo de Servicio]],CatPEP!A:A,CatPEP!C:C,"")</f>
        <v/>
      </c>
      <c r="G927" t="str">
        <f>_xlfn.XLOOKUP(Table1[[#This Row],[PEP]],CatPEP!C:C,CatPEP!D:D,"")</f>
        <v/>
      </c>
      <c r="O927" s="53">
        <f>SUMIF('Registro Refacciones'!B:B, I927, 'Registro Refacciones'!I:I)</f>
        <v>0</v>
      </c>
      <c r="P927" s="26">
        <f>Table1[[#This Row],[Costo Servicio]]+Table1[[#This Row],[Refacciones]]</f>
        <v>0</v>
      </c>
      <c r="Q927" s="26"/>
    </row>
    <row r="928" spans="1:17">
      <c r="A928" s="37" t="str">
        <f>IF(Table1[[#This Row],[Tipo de Servicio]]="","",Caratula!$D$15)</f>
        <v/>
      </c>
      <c r="B928" s="37" t="str">
        <f>IF(Table1[[#This Row],[Tipo de Servicio]]="","",Caratula!$D$16)</f>
        <v/>
      </c>
      <c r="C928" s="24" t="str">
        <f>IF(Table1[[#This Row],[Tipo de Servicio]]="","",Caratula!$D$17)</f>
        <v/>
      </c>
      <c r="D928" s="38" t="str">
        <f>IF(ISBLANK(Table1[[#This Row],[Tipo de Servicio]]),"",Caratula!$D$16)</f>
        <v/>
      </c>
      <c r="F928" t="str">
        <f>_xlfn.XLOOKUP(Table1[[#This Row],[SelGZ]]&amp;Table1[[#This Row],[Tipo de Servicio]],CatPEP!A:A,CatPEP!C:C,"")</f>
        <v/>
      </c>
      <c r="G928" t="str">
        <f>_xlfn.XLOOKUP(Table1[[#This Row],[PEP]],CatPEP!C:C,CatPEP!D:D,"")</f>
        <v/>
      </c>
      <c r="O928" s="53">
        <f>SUMIF('Registro Refacciones'!B:B, I928, 'Registro Refacciones'!I:I)</f>
        <v>0</v>
      </c>
      <c r="P928" s="26">
        <f>Table1[[#This Row],[Costo Servicio]]+Table1[[#This Row],[Refacciones]]</f>
        <v>0</v>
      </c>
      <c r="Q928" s="26"/>
    </row>
    <row r="929" spans="1:17">
      <c r="A929" s="37" t="str">
        <f>IF(Table1[[#This Row],[Tipo de Servicio]]="","",Caratula!$D$15)</f>
        <v/>
      </c>
      <c r="B929" s="37" t="str">
        <f>IF(Table1[[#This Row],[Tipo de Servicio]]="","",Caratula!$D$16)</f>
        <v/>
      </c>
      <c r="C929" s="24" t="str">
        <f>IF(Table1[[#This Row],[Tipo de Servicio]]="","",Caratula!$D$17)</f>
        <v/>
      </c>
      <c r="D929" s="38" t="str">
        <f>IF(ISBLANK(Table1[[#This Row],[Tipo de Servicio]]),"",Caratula!$D$16)</f>
        <v/>
      </c>
      <c r="F929" t="str">
        <f>_xlfn.XLOOKUP(Table1[[#This Row],[SelGZ]]&amp;Table1[[#This Row],[Tipo de Servicio]],CatPEP!A:A,CatPEP!C:C,"")</f>
        <v/>
      </c>
      <c r="G929" t="str">
        <f>_xlfn.XLOOKUP(Table1[[#This Row],[PEP]],CatPEP!C:C,CatPEP!D:D,"")</f>
        <v/>
      </c>
      <c r="O929" s="53">
        <f>SUMIF('Registro Refacciones'!B:B, I929, 'Registro Refacciones'!I:I)</f>
        <v>0</v>
      </c>
      <c r="P929" s="26">
        <f>Table1[[#This Row],[Costo Servicio]]+Table1[[#This Row],[Refacciones]]</f>
        <v>0</v>
      </c>
      <c r="Q929" s="26"/>
    </row>
    <row r="930" spans="1:17">
      <c r="A930" s="37" t="str">
        <f>IF(Table1[[#This Row],[Tipo de Servicio]]="","",Caratula!$D$15)</f>
        <v/>
      </c>
      <c r="B930" s="37" t="str">
        <f>IF(Table1[[#This Row],[Tipo de Servicio]]="","",Caratula!$D$16)</f>
        <v/>
      </c>
      <c r="C930" s="24" t="str">
        <f>IF(Table1[[#This Row],[Tipo de Servicio]]="","",Caratula!$D$17)</f>
        <v/>
      </c>
      <c r="D930" s="38" t="str">
        <f>IF(ISBLANK(Table1[[#This Row],[Tipo de Servicio]]),"",Caratula!$D$16)</f>
        <v/>
      </c>
      <c r="F930" t="str">
        <f>_xlfn.XLOOKUP(Table1[[#This Row],[SelGZ]]&amp;Table1[[#This Row],[Tipo de Servicio]],CatPEP!A:A,CatPEP!C:C,"")</f>
        <v/>
      </c>
      <c r="G930" t="str">
        <f>_xlfn.XLOOKUP(Table1[[#This Row],[PEP]],CatPEP!C:C,CatPEP!D:D,"")</f>
        <v/>
      </c>
      <c r="O930" s="53">
        <f>SUMIF('Registro Refacciones'!B:B, I930, 'Registro Refacciones'!I:I)</f>
        <v>0</v>
      </c>
      <c r="P930" s="26">
        <f>Table1[[#This Row],[Costo Servicio]]+Table1[[#This Row],[Refacciones]]</f>
        <v>0</v>
      </c>
      <c r="Q930" s="26"/>
    </row>
    <row r="931" spans="1:17">
      <c r="A931" s="37" t="str">
        <f>IF(Table1[[#This Row],[Tipo de Servicio]]="","",Caratula!$D$15)</f>
        <v/>
      </c>
      <c r="B931" s="37" t="str">
        <f>IF(Table1[[#This Row],[Tipo de Servicio]]="","",Caratula!$D$16)</f>
        <v/>
      </c>
      <c r="C931" s="24" t="str">
        <f>IF(Table1[[#This Row],[Tipo de Servicio]]="","",Caratula!$D$17)</f>
        <v/>
      </c>
      <c r="D931" s="38" t="str">
        <f>IF(ISBLANK(Table1[[#This Row],[Tipo de Servicio]]),"",Caratula!$D$16)</f>
        <v/>
      </c>
      <c r="F931" t="str">
        <f>_xlfn.XLOOKUP(Table1[[#This Row],[SelGZ]]&amp;Table1[[#This Row],[Tipo de Servicio]],CatPEP!A:A,CatPEP!C:C,"")</f>
        <v/>
      </c>
      <c r="G931" t="str">
        <f>_xlfn.XLOOKUP(Table1[[#This Row],[PEP]],CatPEP!C:C,CatPEP!D:D,"")</f>
        <v/>
      </c>
      <c r="O931" s="53">
        <f>SUMIF('Registro Refacciones'!B:B, I931, 'Registro Refacciones'!I:I)</f>
        <v>0</v>
      </c>
      <c r="P931" s="26">
        <f>Table1[[#This Row],[Costo Servicio]]+Table1[[#This Row],[Refacciones]]</f>
        <v>0</v>
      </c>
      <c r="Q931" s="26"/>
    </row>
    <row r="932" spans="1:17">
      <c r="A932" s="37" t="str">
        <f>IF(Table1[[#This Row],[Tipo de Servicio]]="","",Caratula!$D$15)</f>
        <v/>
      </c>
      <c r="B932" s="37" t="str">
        <f>IF(Table1[[#This Row],[Tipo de Servicio]]="","",Caratula!$D$16)</f>
        <v/>
      </c>
      <c r="C932" s="24" t="str">
        <f>IF(Table1[[#This Row],[Tipo de Servicio]]="","",Caratula!$D$17)</f>
        <v/>
      </c>
      <c r="D932" s="38" t="str">
        <f>IF(ISBLANK(Table1[[#This Row],[Tipo de Servicio]]),"",Caratula!$D$16)</f>
        <v/>
      </c>
      <c r="F932" t="str">
        <f>_xlfn.XLOOKUP(Table1[[#This Row],[SelGZ]]&amp;Table1[[#This Row],[Tipo de Servicio]],CatPEP!A:A,CatPEP!C:C,"")</f>
        <v/>
      </c>
      <c r="G932" t="str">
        <f>_xlfn.XLOOKUP(Table1[[#This Row],[PEP]],CatPEP!C:C,CatPEP!D:D,"")</f>
        <v/>
      </c>
      <c r="O932" s="53">
        <f>SUMIF('Registro Refacciones'!B:B, I932, 'Registro Refacciones'!I:I)</f>
        <v>0</v>
      </c>
      <c r="P932" s="26">
        <f>Table1[[#This Row],[Costo Servicio]]+Table1[[#This Row],[Refacciones]]</f>
        <v>0</v>
      </c>
      <c r="Q932" s="26"/>
    </row>
    <row r="933" spans="1:17">
      <c r="A933" s="37" t="str">
        <f>IF(Table1[[#This Row],[Tipo de Servicio]]="","",Caratula!$D$15)</f>
        <v/>
      </c>
      <c r="B933" s="37" t="str">
        <f>IF(Table1[[#This Row],[Tipo de Servicio]]="","",Caratula!$D$16)</f>
        <v/>
      </c>
      <c r="C933" s="24" t="str">
        <f>IF(Table1[[#This Row],[Tipo de Servicio]]="","",Caratula!$D$17)</f>
        <v/>
      </c>
      <c r="D933" s="38" t="str">
        <f>IF(ISBLANK(Table1[[#This Row],[Tipo de Servicio]]),"",Caratula!$D$16)</f>
        <v/>
      </c>
      <c r="F933" t="str">
        <f>_xlfn.XLOOKUP(Table1[[#This Row],[SelGZ]]&amp;Table1[[#This Row],[Tipo de Servicio]],CatPEP!A:A,CatPEP!C:C,"")</f>
        <v/>
      </c>
      <c r="G933" t="str">
        <f>_xlfn.XLOOKUP(Table1[[#This Row],[PEP]],CatPEP!C:C,CatPEP!D:D,"")</f>
        <v/>
      </c>
      <c r="O933" s="53">
        <f>SUMIF('Registro Refacciones'!B:B, I933, 'Registro Refacciones'!I:I)</f>
        <v>0</v>
      </c>
      <c r="P933" s="26">
        <f>Table1[[#This Row],[Costo Servicio]]+Table1[[#This Row],[Refacciones]]</f>
        <v>0</v>
      </c>
      <c r="Q933" s="26"/>
    </row>
    <row r="934" spans="1:17">
      <c r="A934" s="37" t="str">
        <f>IF(Table1[[#This Row],[Tipo de Servicio]]="","",Caratula!$D$15)</f>
        <v/>
      </c>
      <c r="B934" s="37" t="str">
        <f>IF(Table1[[#This Row],[Tipo de Servicio]]="","",Caratula!$D$16)</f>
        <v/>
      </c>
      <c r="C934" s="24" t="str">
        <f>IF(Table1[[#This Row],[Tipo de Servicio]]="","",Caratula!$D$17)</f>
        <v/>
      </c>
      <c r="D934" s="38" t="str">
        <f>IF(ISBLANK(Table1[[#This Row],[Tipo de Servicio]]),"",Caratula!$D$16)</f>
        <v/>
      </c>
      <c r="F934" t="str">
        <f>_xlfn.XLOOKUP(Table1[[#This Row],[SelGZ]]&amp;Table1[[#This Row],[Tipo de Servicio]],CatPEP!A:A,CatPEP!C:C,"")</f>
        <v/>
      </c>
      <c r="G934" t="str">
        <f>_xlfn.XLOOKUP(Table1[[#This Row],[PEP]],CatPEP!C:C,CatPEP!D:D,"")</f>
        <v/>
      </c>
      <c r="O934" s="53">
        <f>SUMIF('Registro Refacciones'!B:B, I934, 'Registro Refacciones'!I:I)</f>
        <v>0</v>
      </c>
      <c r="P934" s="26">
        <f>Table1[[#This Row],[Costo Servicio]]+Table1[[#This Row],[Refacciones]]</f>
        <v>0</v>
      </c>
      <c r="Q934" s="26"/>
    </row>
    <row r="935" spans="1:17">
      <c r="A935" s="37" t="str">
        <f>IF(Table1[[#This Row],[Tipo de Servicio]]="","",Caratula!$D$15)</f>
        <v/>
      </c>
      <c r="B935" s="37" t="str">
        <f>IF(Table1[[#This Row],[Tipo de Servicio]]="","",Caratula!$D$16)</f>
        <v/>
      </c>
      <c r="C935" s="24" t="str">
        <f>IF(Table1[[#This Row],[Tipo de Servicio]]="","",Caratula!$D$17)</f>
        <v/>
      </c>
      <c r="D935" s="38" t="str">
        <f>IF(ISBLANK(Table1[[#This Row],[Tipo de Servicio]]),"",Caratula!$D$16)</f>
        <v/>
      </c>
      <c r="F935" t="str">
        <f>_xlfn.XLOOKUP(Table1[[#This Row],[SelGZ]]&amp;Table1[[#This Row],[Tipo de Servicio]],CatPEP!A:A,CatPEP!C:C,"")</f>
        <v/>
      </c>
      <c r="G935" t="str">
        <f>_xlfn.XLOOKUP(Table1[[#This Row],[PEP]],CatPEP!C:C,CatPEP!D:D,"")</f>
        <v/>
      </c>
      <c r="O935" s="53">
        <f>SUMIF('Registro Refacciones'!B:B, I935, 'Registro Refacciones'!I:I)</f>
        <v>0</v>
      </c>
      <c r="P935" s="26">
        <f>Table1[[#This Row],[Costo Servicio]]+Table1[[#This Row],[Refacciones]]</f>
        <v>0</v>
      </c>
      <c r="Q935" s="26"/>
    </row>
    <row r="936" spans="1:17">
      <c r="A936" s="37" t="str">
        <f>IF(Table1[[#This Row],[Tipo de Servicio]]="","",Caratula!$D$15)</f>
        <v/>
      </c>
      <c r="B936" s="37" t="str">
        <f>IF(Table1[[#This Row],[Tipo de Servicio]]="","",Caratula!$D$16)</f>
        <v/>
      </c>
      <c r="C936" s="24" t="str">
        <f>IF(Table1[[#This Row],[Tipo de Servicio]]="","",Caratula!$D$17)</f>
        <v/>
      </c>
      <c r="D936" s="38" t="str">
        <f>IF(ISBLANK(Table1[[#This Row],[Tipo de Servicio]]),"",Caratula!$D$16)</f>
        <v/>
      </c>
      <c r="F936" t="str">
        <f>_xlfn.XLOOKUP(Table1[[#This Row],[SelGZ]]&amp;Table1[[#This Row],[Tipo de Servicio]],CatPEP!A:A,CatPEP!C:C,"")</f>
        <v/>
      </c>
      <c r="G936" t="str">
        <f>_xlfn.XLOOKUP(Table1[[#This Row],[PEP]],CatPEP!C:C,CatPEP!D:D,"")</f>
        <v/>
      </c>
      <c r="O936" s="53">
        <f>SUMIF('Registro Refacciones'!B:B, I936, 'Registro Refacciones'!I:I)</f>
        <v>0</v>
      </c>
      <c r="P936" s="26">
        <f>Table1[[#This Row],[Costo Servicio]]+Table1[[#This Row],[Refacciones]]</f>
        <v>0</v>
      </c>
      <c r="Q936" s="26"/>
    </row>
    <row r="937" spans="1:17">
      <c r="A937" s="37" t="str">
        <f>IF(Table1[[#This Row],[Tipo de Servicio]]="","",Caratula!$D$15)</f>
        <v/>
      </c>
      <c r="B937" s="37" t="str">
        <f>IF(Table1[[#This Row],[Tipo de Servicio]]="","",Caratula!$D$16)</f>
        <v/>
      </c>
      <c r="C937" s="24" t="str">
        <f>IF(Table1[[#This Row],[Tipo de Servicio]]="","",Caratula!$D$17)</f>
        <v/>
      </c>
      <c r="D937" s="38" t="str">
        <f>IF(ISBLANK(Table1[[#This Row],[Tipo de Servicio]]),"",Caratula!$D$16)</f>
        <v/>
      </c>
      <c r="F937" t="str">
        <f>_xlfn.XLOOKUP(Table1[[#This Row],[SelGZ]]&amp;Table1[[#This Row],[Tipo de Servicio]],CatPEP!A:A,CatPEP!C:C,"")</f>
        <v/>
      </c>
      <c r="G937" t="str">
        <f>_xlfn.XLOOKUP(Table1[[#This Row],[PEP]],CatPEP!C:C,CatPEP!D:D,"")</f>
        <v/>
      </c>
      <c r="O937" s="53">
        <f>SUMIF('Registro Refacciones'!B:B, I937, 'Registro Refacciones'!I:I)</f>
        <v>0</v>
      </c>
      <c r="P937" s="26">
        <f>Table1[[#This Row],[Costo Servicio]]+Table1[[#This Row],[Refacciones]]</f>
        <v>0</v>
      </c>
      <c r="Q937" s="26"/>
    </row>
    <row r="938" spans="1:17">
      <c r="A938" s="37" t="str">
        <f>IF(Table1[[#This Row],[Tipo de Servicio]]="","",Caratula!$D$15)</f>
        <v/>
      </c>
      <c r="B938" s="37" t="str">
        <f>IF(Table1[[#This Row],[Tipo de Servicio]]="","",Caratula!$D$16)</f>
        <v/>
      </c>
      <c r="C938" s="24" t="str">
        <f>IF(Table1[[#This Row],[Tipo de Servicio]]="","",Caratula!$D$17)</f>
        <v/>
      </c>
      <c r="D938" s="38" t="str">
        <f>IF(ISBLANK(Table1[[#This Row],[Tipo de Servicio]]),"",Caratula!$D$16)</f>
        <v/>
      </c>
      <c r="F938" t="str">
        <f>_xlfn.XLOOKUP(Table1[[#This Row],[SelGZ]]&amp;Table1[[#This Row],[Tipo de Servicio]],CatPEP!A:A,CatPEP!C:C,"")</f>
        <v/>
      </c>
      <c r="G938" t="str">
        <f>_xlfn.XLOOKUP(Table1[[#This Row],[PEP]],CatPEP!C:C,CatPEP!D:D,"")</f>
        <v/>
      </c>
      <c r="O938" s="53">
        <f>SUMIF('Registro Refacciones'!B:B, I938, 'Registro Refacciones'!I:I)</f>
        <v>0</v>
      </c>
      <c r="P938" s="26">
        <f>Table1[[#This Row],[Costo Servicio]]+Table1[[#This Row],[Refacciones]]</f>
        <v>0</v>
      </c>
      <c r="Q938" s="26"/>
    </row>
    <row r="939" spans="1:17">
      <c r="A939" s="37" t="str">
        <f>IF(Table1[[#This Row],[Tipo de Servicio]]="","",Caratula!$D$15)</f>
        <v/>
      </c>
      <c r="B939" s="37" t="str">
        <f>IF(Table1[[#This Row],[Tipo de Servicio]]="","",Caratula!$D$16)</f>
        <v/>
      </c>
      <c r="C939" s="24" t="str">
        <f>IF(Table1[[#This Row],[Tipo de Servicio]]="","",Caratula!$D$17)</f>
        <v/>
      </c>
      <c r="D939" s="38" t="str">
        <f>IF(ISBLANK(Table1[[#This Row],[Tipo de Servicio]]),"",Caratula!$D$16)</f>
        <v/>
      </c>
      <c r="F939" t="str">
        <f>_xlfn.XLOOKUP(Table1[[#This Row],[SelGZ]]&amp;Table1[[#This Row],[Tipo de Servicio]],CatPEP!A:A,CatPEP!C:C,"")</f>
        <v/>
      </c>
      <c r="G939" t="str">
        <f>_xlfn.XLOOKUP(Table1[[#This Row],[PEP]],CatPEP!C:C,CatPEP!D:D,"")</f>
        <v/>
      </c>
      <c r="O939" s="53">
        <f>SUMIF('Registro Refacciones'!B:B, I939, 'Registro Refacciones'!I:I)</f>
        <v>0</v>
      </c>
      <c r="P939" s="26">
        <f>Table1[[#This Row],[Costo Servicio]]+Table1[[#This Row],[Refacciones]]</f>
        <v>0</v>
      </c>
      <c r="Q939" s="26"/>
    </row>
    <row r="940" spans="1:17">
      <c r="A940" s="37" t="str">
        <f>IF(Table1[[#This Row],[Tipo de Servicio]]="","",Caratula!$D$15)</f>
        <v/>
      </c>
      <c r="B940" s="37" t="str">
        <f>IF(Table1[[#This Row],[Tipo de Servicio]]="","",Caratula!$D$16)</f>
        <v/>
      </c>
      <c r="C940" s="24" t="str">
        <f>IF(Table1[[#This Row],[Tipo de Servicio]]="","",Caratula!$D$17)</f>
        <v/>
      </c>
      <c r="D940" s="38" t="str">
        <f>IF(ISBLANK(Table1[[#This Row],[Tipo de Servicio]]),"",Caratula!$D$16)</f>
        <v/>
      </c>
      <c r="F940" t="str">
        <f>_xlfn.XLOOKUP(Table1[[#This Row],[SelGZ]]&amp;Table1[[#This Row],[Tipo de Servicio]],CatPEP!A:A,CatPEP!C:C,"")</f>
        <v/>
      </c>
      <c r="G940" t="str">
        <f>_xlfn.XLOOKUP(Table1[[#This Row],[PEP]],CatPEP!C:C,CatPEP!D:D,"")</f>
        <v/>
      </c>
      <c r="O940" s="53">
        <f>SUMIF('Registro Refacciones'!B:B, I940, 'Registro Refacciones'!I:I)</f>
        <v>0</v>
      </c>
      <c r="P940" s="26">
        <f>Table1[[#This Row],[Costo Servicio]]+Table1[[#This Row],[Refacciones]]</f>
        <v>0</v>
      </c>
      <c r="Q940" s="26"/>
    </row>
    <row r="941" spans="1:17">
      <c r="A941" s="37" t="str">
        <f>IF(Table1[[#This Row],[Tipo de Servicio]]="","",Caratula!$D$15)</f>
        <v/>
      </c>
      <c r="B941" s="37" t="str">
        <f>IF(Table1[[#This Row],[Tipo de Servicio]]="","",Caratula!$D$16)</f>
        <v/>
      </c>
      <c r="C941" s="24" t="str">
        <f>IF(Table1[[#This Row],[Tipo de Servicio]]="","",Caratula!$D$17)</f>
        <v/>
      </c>
      <c r="D941" s="38" t="str">
        <f>IF(ISBLANK(Table1[[#This Row],[Tipo de Servicio]]),"",Caratula!$D$16)</f>
        <v/>
      </c>
      <c r="F941" t="str">
        <f>_xlfn.XLOOKUP(Table1[[#This Row],[SelGZ]]&amp;Table1[[#This Row],[Tipo de Servicio]],CatPEP!A:A,CatPEP!C:C,"")</f>
        <v/>
      </c>
      <c r="G941" t="str">
        <f>_xlfn.XLOOKUP(Table1[[#This Row],[PEP]],CatPEP!C:C,CatPEP!D:D,"")</f>
        <v/>
      </c>
      <c r="O941" s="53">
        <f>SUMIF('Registro Refacciones'!B:B, I941, 'Registro Refacciones'!I:I)</f>
        <v>0</v>
      </c>
      <c r="P941" s="26">
        <f>Table1[[#This Row],[Costo Servicio]]+Table1[[#This Row],[Refacciones]]</f>
        <v>0</v>
      </c>
      <c r="Q941" s="26"/>
    </row>
    <row r="942" spans="1:17">
      <c r="A942" s="37" t="str">
        <f>IF(Table1[[#This Row],[Tipo de Servicio]]="","",Caratula!$D$15)</f>
        <v/>
      </c>
      <c r="B942" s="37" t="str">
        <f>IF(Table1[[#This Row],[Tipo de Servicio]]="","",Caratula!$D$16)</f>
        <v/>
      </c>
      <c r="C942" s="24" t="str">
        <f>IF(Table1[[#This Row],[Tipo de Servicio]]="","",Caratula!$D$17)</f>
        <v/>
      </c>
      <c r="D942" s="38" t="str">
        <f>IF(ISBLANK(Table1[[#This Row],[Tipo de Servicio]]),"",Caratula!$D$16)</f>
        <v/>
      </c>
      <c r="F942" t="str">
        <f>_xlfn.XLOOKUP(Table1[[#This Row],[SelGZ]]&amp;Table1[[#This Row],[Tipo de Servicio]],CatPEP!A:A,CatPEP!C:C,"")</f>
        <v/>
      </c>
      <c r="G942" t="str">
        <f>_xlfn.XLOOKUP(Table1[[#This Row],[PEP]],CatPEP!C:C,CatPEP!D:D,"")</f>
        <v/>
      </c>
      <c r="O942" s="53">
        <f>SUMIF('Registro Refacciones'!B:B, I942, 'Registro Refacciones'!I:I)</f>
        <v>0</v>
      </c>
      <c r="P942" s="26">
        <f>Table1[[#This Row],[Costo Servicio]]+Table1[[#This Row],[Refacciones]]</f>
        <v>0</v>
      </c>
      <c r="Q942" s="26"/>
    </row>
    <row r="943" spans="1:17">
      <c r="A943" s="37" t="str">
        <f>IF(Table1[[#This Row],[Tipo de Servicio]]="","",Caratula!$D$15)</f>
        <v/>
      </c>
      <c r="B943" s="37" t="str">
        <f>IF(Table1[[#This Row],[Tipo de Servicio]]="","",Caratula!$D$16)</f>
        <v/>
      </c>
      <c r="C943" s="24" t="str">
        <f>IF(Table1[[#This Row],[Tipo de Servicio]]="","",Caratula!$D$17)</f>
        <v/>
      </c>
      <c r="D943" s="38" t="str">
        <f>IF(ISBLANK(Table1[[#This Row],[Tipo de Servicio]]),"",Caratula!$D$16)</f>
        <v/>
      </c>
      <c r="F943" t="str">
        <f>_xlfn.XLOOKUP(Table1[[#This Row],[SelGZ]]&amp;Table1[[#This Row],[Tipo de Servicio]],CatPEP!A:A,CatPEP!C:C,"")</f>
        <v/>
      </c>
      <c r="G943" t="str">
        <f>_xlfn.XLOOKUP(Table1[[#This Row],[PEP]],CatPEP!C:C,CatPEP!D:D,"")</f>
        <v/>
      </c>
      <c r="O943" s="53">
        <f>SUMIF('Registro Refacciones'!B:B, I943, 'Registro Refacciones'!I:I)</f>
        <v>0</v>
      </c>
      <c r="P943" s="26">
        <f>Table1[[#This Row],[Costo Servicio]]+Table1[[#This Row],[Refacciones]]</f>
        <v>0</v>
      </c>
      <c r="Q943" s="26"/>
    </row>
    <row r="944" spans="1:17">
      <c r="A944" s="37" t="str">
        <f>IF(Table1[[#This Row],[Tipo de Servicio]]="","",Caratula!$D$15)</f>
        <v/>
      </c>
      <c r="B944" s="37" t="str">
        <f>IF(Table1[[#This Row],[Tipo de Servicio]]="","",Caratula!$D$16)</f>
        <v/>
      </c>
      <c r="C944" s="24" t="str">
        <f>IF(Table1[[#This Row],[Tipo de Servicio]]="","",Caratula!$D$17)</f>
        <v/>
      </c>
      <c r="D944" s="38" t="str">
        <f>IF(ISBLANK(Table1[[#This Row],[Tipo de Servicio]]),"",Caratula!$D$16)</f>
        <v/>
      </c>
      <c r="F944" t="str">
        <f>_xlfn.XLOOKUP(Table1[[#This Row],[SelGZ]]&amp;Table1[[#This Row],[Tipo de Servicio]],CatPEP!A:A,CatPEP!C:C,"")</f>
        <v/>
      </c>
      <c r="G944" t="str">
        <f>_xlfn.XLOOKUP(Table1[[#This Row],[PEP]],CatPEP!C:C,CatPEP!D:D,"")</f>
        <v/>
      </c>
      <c r="O944" s="53">
        <f>SUMIF('Registro Refacciones'!B:B, I944, 'Registro Refacciones'!I:I)</f>
        <v>0</v>
      </c>
      <c r="P944" s="26">
        <f>Table1[[#This Row],[Costo Servicio]]+Table1[[#This Row],[Refacciones]]</f>
        <v>0</v>
      </c>
      <c r="Q944" s="26"/>
    </row>
    <row r="945" spans="1:17">
      <c r="A945" s="37" t="str">
        <f>IF(Table1[[#This Row],[Tipo de Servicio]]="","",Caratula!$D$15)</f>
        <v/>
      </c>
      <c r="B945" s="37" t="str">
        <f>IF(Table1[[#This Row],[Tipo de Servicio]]="","",Caratula!$D$16)</f>
        <v/>
      </c>
      <c r="C945" s="24" t="str">
        <f>IF(Table1[[#This Row],[Tipo de Servicio]]="","",Caratula!$D$17)</f>
        <v/>
      </c>
      <c r="D945" s="38" t="str">
        <f>IF(ISBLANK(Table1[[#This Row],[Tipo de Servicio]]),"",Caratula!$D$16)</f>
        <v/>
      </c>
      <c r="F945" t="str">
        <f>_xlfn.XLOOKUP(Table1[[#This Row],[SelGZ]]&amp;Table1[[#This Row],[Tipo de Servicio]],CatPEP!A:A,CatPEP!C:C,"")</f>
        <v/>
      </c>
      <c r="G945" t="str">
        <f>_xlfn.XLOOKUP(Table1[[#This Row],[PEP]],CatPEP!C:C,CatPEP!D:D,"")</f>
        <v/>
      </c>
      <c r="O945" s="53">
        <f>SUMIF('Registro Refacciones'!B:B, I945, 'Registro Refacciones'!I:I)</f>
        <v>0</v>
      </c>
      <c r="P945" s="26">
        <f>Table1[[#This Row],[Costo Servicio]]+Table1[[#This Row],[Refacciones]]</f>
        <v>0</v>
      </c>
      <c r="Q945" s="26"/>
    </row>
    <row r="946" spans="1:17">
      <c r="A946" s="37" t="str">
        <f>IF(Table1[[#This Row],[Tipo de Servicio]]="","",Caratula!$D$15)</f>
        <v/>
      </c>
      <c r="B946" s="37" t="str">
        <f>IF(Table1[[#This Row],[Tipo de Servicio]]="","",Caratula!$D$16)</f>
        <v/>
      </c>
      <c r="C946" s="24" t="str">
        <f>IF(Table1[[#This Row],[Tipo de Servicio]]="","",Caratula!$D$17)</f>
        <v/>
      </c>
      <c r="D946" s="38" t="str">
        <f>IF(ISBLANK(Table1[[#This Row],[Tipo de Servicio]]),"",Caratula!$D$16)</f>
        <v/>
      </c>
      <c r="F946" t="str">
        <f>_xlfn.XLOOKUP(Table1[[#This Row],[SelGZ]]&amp;Table1[[#This Row],[Tipo de Servicio]],CatPEP!A:A,CatPEP!C:C,"")</f>
        <v/>
      </c>
      <c r="G946" t="str">
        <f>_xlfn.XLOOKUP(Table1[[#This Row],[PEP]],CatPEP!C:C,CatPEP!D:D,"")</f>
        <v/>
      </c>
      <c r="O946" s="53">
        <f>SUMIF('Registro Refacciones'!B:B, I946, 'Registro Refacciones'!I:I)</f>
        <v>0</v>
      </c>
      <c r="P946" s="26">
        <f>Table1[[#This Row],[Costo Servicio]]+Table1[[#This Row],[Refacciones]]</f>
        <v>0</v>
      </c>
      <c r="Q946" s="26"/>
    </row>
    <row r="947" spans="1:17">
      <c r="A947" s="37" t="str">
        <f>IF(Table1[[#This Row],[Tipo de Servicio]]="","",Caratula!$D$15)</f>
        <v/>
      </c>
      <c r="B947" s="37" t="str">
        <f>IF(Table1[[#This Row],[Tipo de Servicio]]="","",Caratula!$D$16)</f>
        <v/>
      </c>
      <c r="C947" s="24" t="str">
        <f>IF(Table1[[#This Row],[Tipo de Servicio]]="","",Caratula!$D$17)</f>
        <v/>
      </c>
      <c r="D947" s="38" t="str">
        <f>IF(ISBLANK(Table1[[#This Row],[Tipo de Servicio]]),"",Caratula!$D$16)</f>
        <v/>
      </c>
      <c r="F947" t="str">
        <f>_xlfn.XLOOKUP(Table1[[#This Row],[SelGZ]]&amp;Table1[[#This Row],[Tipo de Servicio]],CatPEP!A:A,CatPEP!C:C,"")</f>
        <v/>
      </c>
      <c r="G947" t="str">
        <f>_xlfn.XLOOKUP(Table1[[#This Row],[PEP]],CatPEP!C:C,CatPEP!D:D,"")</f>
        <v/>
      </c>
      <c r="O947" s="53">
        <f>SUMIF('Registro Refacciones'!B:B, I947, 'Registro Refacciones'!I:I)</f>
        <v>0</v>
      </c>
      <c r="P947" s="26">
        <f>Table1[[#This Row],[Costo Servicio]]+Table1[[#This Row],[Refacciones]]</f>
        <v>0</v>
      </c>
      <c r="Q947" s="26"/>
    </row>
    <row r="948" spans="1:17">
      <c r="A948" s="37" t="str">
        <f>IF(Table1[[#This Row],[Tipo de Servicio]]="","",Caratula!$D$15)</f>
        <v/>
      </c>
      <c r="B948" s="37" t="str">
        <f>IF(Table1[[#This Row],[Tipo de Servicio]]="","",Caratula!$D$16)</f>
        <v/>
      </c>
      <c r="C948" s="24" t="str">
        <f>IF(Table1[[#This Row],[Tipo de Servicio]]="","",Caratula!$D$17)</f>
        <v/>
      </c>
      <c r="D948" s="38" t="str">
        <f>IF(ISBLANK(Table1[[#This Row],[Tipo de Servicio]]),"",Caratula!$D$16)</f>
        <v/>
      </c>
      <c r="F948" t="str">
        <f>_xlfn.XLOOKUP(Table1[[#This Row],[SelGZ]]&amp;Table1[[#This Row],[Tipo de Servicio]],CatPEP!A:A,CatPEP!C:C,"")</f>
        <v/>
      </c>
      <c r="G948" t="str">
        <f>_xlfn.XLOOKUP(Table1[[#This Row],[PEP]],CatPEP!C:C,CatPEP!D:D,"")</f>
        <v/>
      </c>
      <c r="O948" s="53">
        <f>SUMIF('Registro Refacciones'!B:B, I948, 'Registro Refacciones'!I:I)</f>
        <v>0</v>
      </c>
      <c r="P948" s="26">
        <f>Table1[[#This Row],[Costo Servicio]]+Table1[[#This Row],[Refacciones]]</f>
        <v>0</v>
      </c>
      <c r="Q948" s="26"/>
    </row>
    <row r="949" spans="1:17">
      <c r="A949" s="37" t="str">
        <f>IF(Table1[[#This Row],[Tipo de Servicio]]="","",Caratula!$D$15)</f>
        <v/>
      </c>
      <c r="B949" s="37" t="str">
        <f>IF(Table1[[#This Row],[Tipo de Servicio]]="","",Caratula!$D$16)</f>
        <v/>
      </c>
      <c r="C949" s="24" t="str">
        <f>IF(Table1[[#This Row],[Tipo de Servicio]]="","",Caratula!$D$17)</f>
        <v/>
      </c>
      <c r="D949" s="38" t="str">
        <f>IF(ISBLANK(Table1[[#This Row],[Tipo de Servicio]]),"",Caratula!$D$16)</f>
        <v/>
      </c>
      <c r="F949" t="str">
        <f>_xlfn.XLOOKUP(Table1[[#This Row],[SelGZ]]&amp;Table1[[#This Row],[Tipo de Servicio]],CatPEP!A:A,CatPEP!C:C,"")</f>
        <v/>
      </c>
      <c r="G949" t="str">
        <f>_xlfn.XLOOKUP(Table1[[#This Row],[PEP]],CatPEP!C:C,CatPEP!D:D,"")</f>
        <v/>
      </c>
      <c r="O949" s="53">
        <f>SUMIF('Registro Refacciones'!B:B, I949, 'Registro Refacciones'!I:I)</f>
        <v>0</v>
      </c>
      <c r="P949" s="26">
        <f>Table1[[#This Row],[Costo Servicio]]+Table1[[#This Row],[Refacciones]]</f>
        <v>0</v>
      </c>
      <c r="Q949" s="26"/>
    </row>
    <row r="950" spans="1:17">
      <c r="A950" s="37" t="str">
        <f>IF(Table1[[#This Row],[Tipo de Servicio]]="","",Caratula!$D$15)</f>
        <v/>
      </c>
      <c r="B950" s="37" t="str">
        <f>IF(Table1[[#This Row],[Tipo de Servicio]]="","",Caratula!$D$16)</f>
        <v/>
      </c>
      <c r="C950" s="24" t="str">
        <f>IF(Table1[[#This Row],[Tipo de Servicio]]="","",Caratula!$D$17)</f>
        <v/>
      </c>
      <c r="D950" s="38" t="str">
        <f>IF(ISBLANK(Table1[[#This Row],[Tipo de Servicio]]),"",Caratula!$D$16)</f>
        <v/>
      </c>
      <c r="F950" t="str">
        <f>_xlfn.XLOOKUP(Table1[[#This Row],[SelGZ]]&amp;Table1[[#This Row],[Tipo de Servicio]],CatPEP!A:A,CatPEP!C:C,"")</f>
        <v/>
      </c>
      <c r="G950" t="str">
        <f>_xlfn.XLOOKUP(Table1[[#This Row],[PEP]],CatPEP!C:C,CatPEP!D:D,"")</f>
        <v/>
      </c>
      <c r="O950" s="53">
        <f>SUMIF('Registro Refacciones'!B:B, I950, 'Registro Refacciones'!I:I)</f>
        <v>0</v>
      </c>
      <c r="P950" s="26">
        <f>Table1[[#This Row],[Costo Servicio]]+Table1[[#This Row],[Refacciones]]</f>
        <v>0</v>
      </c>
      <c r="Q950" s="26"/>
    </row>
    <row r="951" spans="1:17">
      <c r="A951" s="37" t="str">
        <f>IF(Table1[[#This Row],[Tipo de Servicio]]="","",Caratula!$D$15)</f>
        <v/>
      </c>
      <c r="B951" s="37" t="str">
        <f>IF(Table1[[#This Row],[Tipo de Servicio]]="","",Caratula!$D$16)</f>
        <v/>
      </c>
      <c r="C951" s="24" t="str">
        <f>IF(Table1[[#This Row],[Tipo de Servicio]]="","",Caratula!$D$17)</f>
        <v/>
      </c>
      <c r="D951" s="38" t="str">
        <f>IF(ISBLANK(Table1[[#This Row],[Tipo de Servicio]]),"",Caratula!$D$16)</f>
        <v/>
      </c>
      <c r="F951" t="str">
        <f>_xlfn.XLOOKUP(Table1[[#This Row],[SelGZ]]&amp;Table1[[#This Row],[Tipo de Servicio]],CatPEP!A:A,CatPEP!C:C,"")</f>
        <v/>
      </c>
      <c r="G951" t="str">
        <f>_xlfn.XLOOKUP(Table1[[#This Row],[PEP]],CatPEP!C:C,CatPEP!D:D,"")</f>
        <v/>
      </c>
      <c r="O951" s="53">
        <f>SUMIF('Registro Refacciones'!B:B, I951, 'Registro Refacciones'!I:I)</f>
        <v>0</v>
      </c>
      <c r="P951" s="26">
        <f>Table1[[#This Row],[Costo Servicio]]+Table1[[#This Row],[Refacciones]]</f>
        <v>0</v>
      </c>
      <c r="Q951" s="26"/>
    </row>
    <row r="952" spans="1:17">
      <c r="A952" s="37" t="str">
        <f>IF(Table1[[#This Row],[Tipo de Servicio]]="","",Caratula!$D$15)</f>
        <v/>
      </c>
      <c r="B952" s="37" t="str">
        <f>IF(Table1[[#This Row],[Tipo de Servicio]]="","",Caratula!$D$16)</f>
        <v/>
      </c>
      <c r="C952" s="24" t="str">
        <f>IF(Table1[[#This Row],[Tipo de Servicio]]="","",Caratula!$D$17)</f>
        <v/>
      </c>
      <c r="D952" s="38" t="str">
        <f>IF(ISBLANK(Table1[[#This Row],[Tipo de Servicio]]),"",Caratula!$D$16)</f>
        <v/>
      </c>
      <c r="F952" t="str">
        <f>_xlfn.XLOOKUP(Table1[[#This Row],[SelGZ]]&amp;Table1[[#This Row],[Tipo de Servicio]],CatPEP!A:A,CatPEP!C:C,"")</f>
        <v/>
      </c>
      <c r="G952" t="str">
        <f>_xlfn.XLOOKUP(Table1[[#This Row],[PEP]],CatPEP!C:C,CatPEP!D:D,"")</f>
        <v/>
      </c>
      <c r="O952" s="53">
        <f>SUMIF('Registro Refacciones'!B:B, I952, 'Registro Refacciones'!I:I)</f>
        <v>0</v>
      </c>
      <c r="P952" s="26">
        <f>Table1[[#This Row],[Costo Servicio]]+Table1[[#This Row],[Refacciones]]</f>
        <v>0</v>
      </c>
      <c r="Q952" s="26"/>
    </row>
    <row r="953" spans="1:17">
      <c r="A953" s="37" t="str">
        <f>IF(Table1[[#This Row],[Tipo de Servicio]]="","",Caratula!$D$15)</f>
        <v/>
      </c>
      <c r="B953" s="37" t="str">
        <f>IF(Table1[[#This Row],[Tipo de Servicio]]="","",Caratula!$D$16)</f>
        <v/>
      </c>
      <c r="C953" s="24" t="str">
        <f>IF(Table1[[#This Row],[Tipo de Servicio]]="","",Caratula!$D$17)</f>
        <v/>
      </c>
      <c r="D953" s="38" t="str">
        <f>IF(ISBLANK(Table1[[#This Row],[Tipo de Servicio]]),"",Caratula!$D$16)</f>
        <v/>
      </c>
      <c r="F953" t="str">
        <f>_xlfn.XLOOKUP(Table1[[#This Row],[SelGZ]]&amp;Table1[[#This Row],[Tipo de Servicio]],CatPEP!A:A,CatPEP!C:C,"")</f>
        <v/>
      </c>
      <c r="G953" t="str">
        <f>_xlfn.XLOOKUP(Table1[[#This Row],[PEP]],CatPEP!C:C,CatPEP!D:D,"")</f>
        <v/>
      </c>
      <c r="O953" s="53">
        <f>SUMIF('Registro Refacciones'!B:B, I953, 'Registro Refacciones'!I:I)</f>
        <v>0</v>
      </c>
      <c r="P953" s="26">
        <f>Table1[[#This Row],[Costo Servicio]]+Table1[[#This Row],[Refacciones]]</f>
        <v>0</v>
      </c>
      <c r="Q953" s="26"/>
    </row>
    <row r="954" spans="1:17">
      <c r="A954" s="37" t="str">
        <f>IF(Table1[[#This Row],[Tipo de Servicio]]="","",Caratula!$D$15)</f>
        <v/>
      </c>
      <c r="B954" s="37" t="str">
        <f>IF(Table1[[#This Row],[Tipo de Servicio]]="","",Caratula!$D$16)</f>
        <v/>
      </c>
      <c r="C954" s="24" t="str">
        <f>IF(Table1[[#This Row],[Tipo de Servicio]]="","",Caratula!$D$17)</f>
        <v/>
      </c>
      <c r="D954" s="38" t="str">
        <f>IF(ISBLANK(Table1[[#This Row],[Tipo de Servicio]]),"",Caratula!$D$16)</f>
        <v/>
      </c>
      <c r="F954" t="str">
        <f>_xlfn.XLOOKUP(Table1[[#This Row],[SelGZ]]&amp;Table1[[#This Row],[Tipo de Servicio]],CatPEP!A:A,CatPEP!C:C,"")</f>
        <v/>
      </c>
      <c r="G954" t="str">
        <f>_xlfn.XLOOKUP(Table1[[#This Row],[PEP]],CatPEP!C:C,CatPEP!D:D,"")</f>
        <v/>
      </c>
      <c r="O954" s="53">
        <f>SUMIF('Registro Refacciones'!B:B, I954, 'Registro Refacciones'!I:I)</f>
        <v>0</v>
      </c>
      <c r="P954" s="26">
        <f>Table1[[#This Row],[Costo Servicio]]+Table1[[#This Row],[Refacciones]]</f>
        <v>0</v>
      </c>
      <c r="Q954" s="26"/>
    </row>
    <row r="955" spans="1:17">
      <c r="A955" s="37" t="str">
        <f>IF(Table1[[#This Row],[Tipo de Servicio]]="","",Caratula!$D$15)</f>
        <v/>
      </c>
      <c r="B955" s="37" t="str">
        <f>IF(Table1[[#This Row],[Tipo de Servicio]]="","",Caratula!$D$16)</f>
        <v/>
      </c>
      <c r="C955" s="24" t="str">
        <f>IF(Table1[[#This Row],[Tipo de Servicio]]="","",Caratula!$D$17)</f>
        <v/>
      </c>
      <c r="D955" s="38" t="str">
        <f>IF(ISBLANK(Table1[[#This Row],[Tipo de Servicio]]),"",Caratula!$D$16)</f>
        <v/>
      </c>
      <c r="F955" t="str">
        <f>_xlfn.XLOOKUP(Table1[[#This Row],[SelGZ]]&amp;Table1[[#This Row],[Tipo de Servicio]],CatPEP!A:A,CatPEP!C:C,"")</f>
        <v/>
      </c>
      <c r="G955" t="str">
        <f>_xlfn.XLOOKUP(Table1[[#This Row],[PEP]],CatPEP!C:C,CatPEP!D:D,"")</f>
        <v/>
      </c>
      <c r="O955" s="53">
        <f>SUMIF('Registro Refacciones'!B:B, I955, 'Registro Refacciones'!I:I)</f>
        <v>0</v>
      </c>
      <c r="P955" s="26">
        <f>Table1[[#This Row],[Costo Servicio]]+Table1[[#This Row],[Refacciones]]</f>
        <v>0</v>
      </c>
      <c r="Q955" s="26"/>
    </row>
    <row r="956" spans="1:17">
      <c r="A956" s="37" t="str">
        <f>IF(Table1[[#This Row],[Tipo de Servicio]]="","",Caratula!$D$15)</f>
        <v/>
      </c>
      <c r="B956" s="37" t="str">
        <f>IF(Table1[[#This Row],[Tipo de Servicio]]="","",Caratula!$D$16)</f>
        <v/>
      </c>
      <c r="C956" s="24" t="str">
        <f>IF(Table1[[#This Row],[Tipo de Servicio]]="","",Caratula!$D$17)</f>
        <v/>
      </c>
      <c r="D956" s="38" t="str">
        <f>IF(ISBLANK(Table1[[#This Row],[Tipo de Servicio]]),"",Caratula!$D$16)</f>
        <v/>
      </c>
      <c r="F956" t="str">
        <f>_xlfn.XLOOKUP(Table1[[#This Row],[SelGZ]]&amp;Table1[[#This Row],[Tipo de Servicio]],CatPEP!A:A,CatPEP!C:C,"")</f>
        <v/>
      </c>
      <c r="G956" t="str">
        <f>_xlfn.XLOOKUP(Table1[[#This Row],[PEP]],CatPEP!C:C,CatPEP!D:D,"")</f>
        <v/>
      </c>
      <c r="O956" s="53">
        <f>SUMIF('Registro Refacciones'!B:B, I956, 'Registro Refacciones'!I:I)</f>
        <v>0</v>
      </c>
      <c r="P956" s="26">
        <f>Table1[[#This Row],[Costo Servicio]]+Table1[[#This Row],[Refacciones]]</f>
        <v>0</v>
      </c>
      <c r="Q956" s="26"/>
    </row>
    <row r="957" spans="1:17">
      <c r="A957" s="37" t="str">
        <f>IF(Table1[[#This Row],[Tipo de Servicio]]="","",Caratula!$D$15)</f>
        <v/>
      </c>
      <c r="B957" s="37" t="str">
        <f>IF(Table1[[#This Row],[Tipo de Servicio]]="","",Caratula!$D$16)</f>
        <v/>
      </c>
      <c r="C957" s="24" t="str">
        <f>IF(Table1[[#This Row],[Tipo de Servicio]]="","",Caratula!$D$17)</f>
        <v/>
      </c>
      <c r="D957" s="38" t="str">
        <f>IF(ISBLANK(Table1[[#This Row],[Tipo de Servicio]]),"",Caratula!$D$16)</f>
        <v/>
      </c>
      <c r="F957" t="str">
        <f>_xlfn.XLOOKUP(Table1[[#This Row],[SelGZ]]&amp;Table1[[#This Row],[Tipo de Servicio]],CatPEP!A:A,CatPEP!C:C,"")</f>
        <v/>
      </c>
      <c r="G957" t="str">
        <f>_xlfn.XLOOKUP(Table1[[#This Row],[PEP]],CatPEP!C:C,CatPEP!D:D,"")</f>
        <v/>
      </c>
      <c r="O957" s="53">
        <f>SUMIF('Registro Refacciones'!B:B, I957, 'Registro Refacciones'!I:I)</f>
        <v>0</v>
      </c>
      <c r="P957" s="26">
        <f>Table1[[#This Row],[Costo Servicio]]+Table1[[#This Row],[Refacciones]]</f>
        <v>0</v>
      </c>
      <c r="Q957" s="26"/>
    </row>
    <row r="958" spans="1:17">
      <c r="A958" s="37" t="str">
        <f>IF(Table1[[#This Row],[Tipo de Servicio]]="","",Caratula!$D$15)</f>
        <v/>
      </c>
      <c r="B958" s="37" t="str">
        <f>IF(Table1[[#This Row],[Tipo de Servicio]]="","",Caratula!$D$16)</f>
        <v/>
      </c>
      <c r="C958" s="24" t="str">
        <f>IF(Table1[[#This Row],[Tipo de Servicio]]="","",Caratula!$D$17)</f>
        <v/>
      </c>
      <c r="D958" s="38" t="str">
        <f>IF(ISBLANK(Table1[[#This Row],[Tipo de Servicio]]),"",Caratula!$D$16)</f>
        <v/>
      </c>
      <c r="F958" t="str">
        <f>_xlfn.XLOOKUP(Table1[[#This Row],[SelGZ]]&amp;Table1[[#This Row],[Tipo de Servicio]],CatPEP!A:A,CatPEP!C:C,"")</f>
        <v/>
      </c>
      <c r="G958" t="str">
        <f>_xlfn.XLOOKUP(Table1[[#This Row],[PEP]],CatPEP!C:C,CatPEP!D:D,"")</f>
        <v/>
      </c>
      <c r="O958" s="53">
        <f>SUMIF('Registro Refacciones'!B:B, I958, 'Registro Refacciones'!I:I)</f>
        <v>0</v>
      </c>
      <c r="P958" s="26">
        <f>Table1[[#This Row],[Costo Servicio]]+Table1[[#This Row],[Refacciones]]</f>
        <v>0</v>
      </c>
      <c r="Q958" s="26"/>
    </row>
    <row r="959" spans="1:17">
      <c r="A959" s="37" t="str">
        <f>IF(Table1[[#This Row],[Tipo de Servicio]]="","",Caratula!$D$15)</f>
        <v/>
      </c>
      <c r="B959" s="37" t="str">
        <f>IF(Table1[[#This Row],[Tipo de Servicio]]="","",Caratula!$D$16)</f>
        <v/>
      </c>
      <c r="C959" s="24" t="str">
        <f>IF(Table1[[#This Row],[Tipo de Servicio]]="","",Caratula!$D$17)</f>
        <v/>
      </c>
      <c r="D959" s="38" t="str">
        <f>IF(ISBLANK(Table1[[#This Row],[Tipo de Servicio]]),"",Caratula!$D$16)</f>
        <v/>
      </c>
      <c r="F959" t="str">
        <f>_xlfn.XLOOKUP(Table1[[#This Row],[SelGZ]]&amp;Table1[[#This Row],[Tipo de Servicio]],CatPEP!A:A,CatPEP!C:C,"")</f>
        <v/>
      </c>
      <c r="G959" t="str">
        <f>_xlfn.XLOOKUP(Table1[[#This Row],[PEP]],CatPEP!C:C,CatPEP!D:D,"")</f>
        <v/>
      </c>
      <c r="O959" s="53">
        <f>SUMIF('Registro Refacciones'!B:B, I959, 'Registro Refacciones'!I:I)</f>
        <v>0</v>
      </c>
      <c r="P959" s="26">
        <f>Table1[[#This Row],[Costo Servicio]]+Table1[[#This Row],[Refacciones]]</f>
        <v>0</v>
      </c>
      <c r="Q959" s="26"/>
    </row>
    <row r="960" spans="1:17">
      <c r="A960" s="37" t="str">
        <f>IF(Table1[[#This Row],[Tipo de Servicio]]="","",Caratula!$D$15)</f>
        <v/>
      </c>
      <c r="B960" s="37" t="str">
        <f>IF(Table1[[#This Row],[Tipo de Servicio]]="","",Caratula!$D$16)</f>
        <v/>
      </c>
      <c r="C960" s="24" t="str">
        <f>IF(Table1[[#This Row],[Tipo de Servicio]]="","",Caratula!$D$17)</f>
        <v/>
      </c>
      <c r="D960" s="38" t="str">
        <f>IF(ISBLANK(Table1[[#This Row],[Tipo de Servicio]]),"",Caratula!$D$16)</f>
        <v/>
      </c>
      <c r="F960" t="str">
        <f>_xlfn.XLOOKUP(Table1[[#This Row],[SelGZ]]&amp;Table1[[#This Row],[Tipo de Servicio]],CatPEP!A:A,CatPEP!C:C,"")</f>
        <v/>
      </c>
      <c r="G960" t="str">
        <f>_xlfn.XLOOKUP(Table1[[#This Row],[PEP]],CatPEP!C:C,CatPEP!D:D,"")</f>
        <v/>
      </c>
      <c r="O960" s="53">
        <f>SUMIF('Registro Refacciones'!B:B, I960, 'Registro Refacciones'!I:I)</f>
        <v>0</v>
      </c>
      <c r="P960" s="26">
        <f>Table1[[#This Row],[Costo Servicio]]+Table1[[#This Row],[Refacciones]]</f>
        <v>0</v>
      </c>
      <c r="Q960" s="26"/>
    </row>
    <row r="961" spans="1:17">
      <c r="A961" s="37" t="str">
        <f>IF(Table1[[#This Row],[Tipo de Servicio]]="","",Caratula!$D$15)</f>
        <v/>
      </c>
      <c r="B961" s="37" t="str">
        <f>IF(Table1[[#This Row],[Tipo de Servicio]]="","",Caratula!$D$16)</f>
        <v/>
      </c>
      <c r="C961" s="24" t="str">
        <f>IF(Table1[[#This Row],[Tipo de Servicio]]="","",Caratula!$D$17)</f>
        <v/>
      </c>
      <c r="D961" s="38" t="str">
        <f>IF(ISBLANK(Table1[[#This Row],[Tipo de Servicio]]),"",Caratula!$D$16)</f>
        <v/>
      </c>
      <c r="F961" t="str">
        <f>_xlfn.XLOOKUP(Table1[[#This Row],[SelGZ]]&amp;Table1[[#This Row],[Tipo de Servicio]],CatPEP!A:A,CatPEP!C:C,"")</f>
        <v/>
      </c>
      <c r="G961" t="str">
        <f>_xlfn.XLOOKUP(Table1[[#This Row],[PEP]],CatPEP!C:C,CatPEP!D:D,"")</f>
        <v/>
      </c>
      <c r="O961" s="53">
        <f>SUMIF('Registro Refacciones'!B:B, I961, 'Registro Refacciones'!I:I)</f>
        <v>0</v>
      </c>
      <c r="P961" s="26">
        <f>Table1[[#This Row],[Costo Servicio]]+Table1[[#This Row],[Refacciones]]</f>
        <v>0</v>
      </c>
      <c r="Q961" s="26"/>
    </row>
    <row r="962" spans="1:17">
      <c r="A962" s="37" t="str">
        <f>IF(Table1[[#This Row],[Tipo de Servicio]]="","",Caratula!$D$15)</f>
        <v/>
      </c>
      <c r="B962" s="37" t="str">
        <f>IF(Table1[[#This Row],[Tipo de Servicio]]="","",Caratula!$D$16)</f>
        <v/>
      </c>
      <c r="C962" s="24" t="str">
        <f>IF(Table1[[#This Row],[Tipo de Servicio]]="","",Caratula!$D$17)</f>
        <v/>
      </c>
      <c r="D962" s="38" t="str">
        <f>IF(ISBLANK(Table1[[#This Row],[Tipo de Servicio]]),"",Caratula!$D$16)</f>
        <v/>
      </c>
      <c r="F962" t="str">
        <f>_xlfn.XLOOKUP(Table1[[#This Row],[SelGZ]]&amp;Table1[[#This Row],[Tipo de Servicio]],CatPEP!A:A,CatPEP!C:C,"")</f>
        <v/>
      </c>
      <c r="G962" t="str">
        <f>_xlfn.XLOOKUP(Table1[[#This Row],[PEP]],CatPEP!C:C,CatPEP!D:D,"")</f>
        <v/>
      </c>
      <c r="O962" s="53">
        <f>SUMIF('Registro Refacciones'!B:B, I962, 'Registro Refacciones'!I:I)</f>
        <v>0</v>
      </c>
      <c r="P962" s="26">
        <f>Table1[[#This Row],[Costo Servicio]]+Table1[[#This Row],[Refacciones]]</f>
        <v>0</v>
      </c>
      <c r="Q962" s="26"/>
    </row>
    <row r="963" spans="1:17">
      <c r="A963" s="37" t="str">
        <f>IF(Table1[[#This Row],[Tipo de Servicio]]="","",Caratula!$D$15)</f>
        <v/>
      </c>
      <c r="B963" s="37" t="str">
        <f>IF(Table1[[#This Row],[Tipo de Servicio]]="","",Caratula!$D$16)</f>
        <v/>
      </c>
      <c r="C963" s="24" t="str">
        <f>IF(Table1[[#This Row],[Tipo de Servicio]]="","",Caratula!$D$17)</f>
        <v/>
      </c>
      <c r="D963" s="38" t="str">
        <f>IF(ISBLANK(Table1[[#This Row],[Tipo de Servicio]]),"",Caratula!$D$16)</f>
        <v/>
      </c>
      <c r="F963" t="str">
        <f>_xlfn.XLOOKUP(Table1[[#This Row],[SelGZ]]&amp;Table1[[#This Row],[Tipo de Servicio]],CatPEP!A:A,CatPEP!C:C,"")</f>
        <v/>
      </c>
      <c r="G963" t="str">
        <f>_xlfn.XLOOKUP(Table1[[#This Row],[PEP]],CatPEP!C:C,CatPEP!D:D,"")</f>
        <v/>
      </c>
      <c r="O963" s="53">
        <f>SUMIF('Registro Refacciones'!B:B, I963, 'Registro Refacciones'!I:I)</f>
        <v>0</v>
      </c>
      <c r="P963" s="26">
        <f>Table1[[#This Row],[Costo Servicio]]+Table1[[#This Row],[Refacciones]]</f>
        <v>0</v>
      </c>
      <c r="Q963" s="26"/>
    </row>
    <row r="964" spans="1:17">
      <c r="A964" s="37" t="str">
        <f>IF(Table1[[#This Row],[Tipo de Servicio]]="","",Caratula!$D$15)</f>
        <v/>
      </c>
      <c r="B964" s="37" t="str">
        <f>IF(Table1[[#This Row],[Tipo de Servicio]]="","",Caratula!$D$16)</f>
        <v/>
      </c>
      <c r="C964" s="24" t="str">
        <f>IF(Table1[[#This Row],[Tipo de Servicio]]="","",Caratula!$D$17)</f>
        <v/>
      </c>
      <c r="D964" s="38" t="str">
        <f>IF(ISBLANK(Table1[[#This Row],[Tipo de Servicio]]),"",Caratula!$D$16)</f>
        <v/>
      </c>
      <c r="F964" t="str">
        <f>_xlfn.XLOOKUP(Table1[[#This Row],[SelGZ]]&amp;Table1[[#This Row],[Tipo de Servicio]],CatPEP!A:A,CatPEP!C:C,"")</f>
        <v/>
      </c>
      <c r="G964" t="str">
        <f>_xlfn.XLOOKUP(Table1[[#This Row],[PEP]],CatPEP!C:C,CatPEP!D:D,"")</f>
        <v/>
      </c>
      <c r="O964" s="53">
        <f>SUMIF('Registro Refacciones'!B:B, I964, 'Registro Refacciones'!I:I)</f>
        <v>0</v>
      </c>
      <c r="P964" s="26">
        <f>Table1[[#This Row],[Costo Servicio]]+Table1[[#This Row],[Refacciones]]</f>
        <v>0</v>
      </c>
      <c r="Q964" s="26"/>
    </row>
    <row r="965" spans="1:17">
      <c r="A965" s="37" t="str">
        <f>IF(Table1[[#This Row],[Tipo de Servicio]]="","",Caratula!$D$15)</f>
        <v/>
      </c>
      <c r="B965" s="37" t="str">
        <f>IF(Table1[[#This Row],[Tipo de Servicio]]="","",Caratula!$D$16)</f>
        <v/>
      </c>
      <c r="C965" s="24" t="str">
        <f>IF(Table1[[#This Row],[Tipo de Servicio]]="","",Caratula!$D$17)</f>
        <v/>
      </c>
      <c r="D965" s="38" t="str">
        <f>IF(ISBLANK(Table1[[#This Row],[Tipo de Servicio]]),"",Caratula!$D$16)</f>
        <v/>
      </c>
      <c r="F965" t="str">
        <f>_xlfn.XLOOKUP(Table1[[#This Row],[SelGZ]]&amp;Table1[[#This Row],[Tipo de Servicio]],CatPEP!A:A,CatPEP!C:C,"")</f>
        <v/>
      </c>
      <c r="G965" t="str">
        <f>_xlfn.XLOOKUP(Table1[[#This Row],[PEP]],CatPEP!C:C,CatPEP!D:D,"")</f>
        <v/>
      </c>
      <c r="O965" s="53">
        <f>SUMIF('Registro Refacciones'!B:B, I965, 'Registro Refacciones'!I:I)</f>
        <v>0</v>
      </c>
      <c r="P965" s="26">
        <f>Table1[[#This Row],[Costo Servicio]]+Table1[[#This Row],[Refacciones]]</f>
        <v>0</v>
      </c>
      <c r="Q965" s="26"/>
    </row>
    <row r="966" spans="1:17">
      <c r="A966" s="37" t="str">
        <f>IF(Table1[[#This Row],[Tipo de Servicio]]="","",Caratula!$D$15)</f>
        <v/>
      </c>
      <c r="B966" s="37" t="str">
        <f>IF(Table1[[#This Row],[Tipo de Servicio]]="","",Caratula!$D$16)</f>
        <v/>
      </c>
      <c r="C966" s="24" t="str">
        <f>IF(Table1[[#This Row],[Tipo de Servicio]]="","",Caratula!$D$17)</f>
        <v/>
      </c>
      <c r="D966" s="38" t="str">
        <f>IF(ISBLANK(Table1[[#This Row],[Tipo de Servicio]]),"",Caratula!$D$16)</f>
        <v/>
      </c>
      <c r="F966" t="str">
        <f>_xlfn.XLOOKUP(Table1[[#This Row],[SelGZ]]&amp;Table1[[#This Row],[Tipo de Servicio]],CatPEP!A:A,CatPEP!C:C,"")</f>
        <v/>
      </c>
      <c r="G966" t="str">
        <f>_xlfn.XLOOKUP(Table1[[#This Row],[PEP]],CatPEP!C:C,CatPEP!D:D,"")</f>
        <v/>
      </c>
      <c r="O966" s="53">
        <f>SUMIF('Registro Refacciones'!B:B, I966, 'Registro Refacciones'!I:I)</f>
        <v>0</v>
      </c>
      <c r="P966" s="26">
        <f>Table1[[#This Row],[Costo Servicio]]+Table1[[#This Row],[Refacciones]]</f>
        <v>0</v>
      </c>
      <c r="Q966" s="26"/>
    </row>
    <row r="967" spans="1:17">
      <c r="A967" s="37" t="str">
        <f>IF(Table1[[#This Row],[Tipo de Servicio]]="","",Caratula!$D$15)</f>
        <v/>
      </c>
      <c r="B967" s="37" t="str">
        <f>IF(Table1[[#This Row],[Tipo de Servicio]]="","",Caratula!$D$16)</f>
        <v/>
      </c>
      <c r="C967" s="24" t="str">
        <f>IF(Table1[[#This Row],[Tipo de Servicio]]="","",Caratula!$D$17)</f>
        <v/>
      </c>
      <c r="D967" s="38" t="str">
        <f>IF(ISBLANK(Table1[[#This Row],[Tipo de Servicio]]),"",Caratula!$D$16)</f>
        <v/>
      </c>
      <c r="F967" t="str">
        <f>_xlfn.XLOOKUP(Table1[[#This Row],[SelGZ]]&amp;Table1[[#This Row],[Tipo de Servicio]],CatPEP!A:A,CatPEP!C:C,"")</f>
        <v/>
      </c>
      <c r="G967" t="str">
        <f>_xlfn.XLOOKUP(Table1[[#This Row],[PEP]],CatPEP!C:C,CatPEP!D:D,"")</f>
        <v/>
      </c>
      <c r="O967" s="53">
        <f>SUMIF('Registro Refacciones'!B:B, I967, 'Registro Refacciones'!I:I)</f>
        <v>0</v>
      </c>
      <c r="P967" s="26">
        <f>Table1[[#This Row],[Costo Servicio]]+Table1[[#This Row],[Refacciones]]</f>
        <v>0</v>
      </c>
      <c r="Q967" s="26"/>
    </row>
    <row r="968" spans="1:17">
      <c r="A968" s="37" t="str">
        <f>IF(Table1[[#This Row],[Tipo de Servicio]]="","",Caratula!$D$15)</f>
        <v/>
      </c>
      <c r="B968" s="37" t="str">
        <f>IF(Table1[[#This Row],[Tipo de Servicio]]="","",Caratula!$D$16)</f>
        <v/>
      </c>
      <c r="C968" s="24" t="str">
        <f>IF(Table1[[#This Row],[Tipo de Servicio]]="","",Caratula!$D$17)</f>
        <v/>
      </c>
      <c r="D968" s="38" t="str">
        <f>IF(ISBLANK(Table1[[#This Row],[Tipo de Servicio]]),"",Caratula!$D$16)</f>
        <v/>
      </c>
      <c r="F968" t="str">
        <f>_xlfn.XLOOKUP(Table1[[#This Row],[SelGZ]]&amp;Table1[[#This Row],[Tipo de Servicio]],CatPEP!A:A,CatPEP!C:C,"")</f>
        <v/>
      </c>
      <c r="G968" t="str">
        <f>_xlfn.XLOOKUP(Table1[[#This Row],[PEP]],CatPEP!C:C,CatPEP!D:D,"")</f>
        <v/>
      </c>
      <c r="O968" s="53">
        <f>SUMIF('Registro Refacciones'!B:B, I968, 'Registro Refacciones'!I:I)</f>
        <v>0</v>
      </c>
      <c r="P968" s="26">
        <f>Table1[[#This Row],[Costo Servicio]]+Table1[[#This Row],[Refacciones]]</f>
        <v>0</v>
      </c>
      <c r="Q968" s="26"/>
    </row>
    <row r="969" spans="1:17">
      <c r="A969" s="37" t="str">
        <f>IF(Table1[[#This Row],[Tipo de Servicio]]="","",Caratula!$D$15)</f>
        <v/>
      </c>
      <c r="B969" s="37" t="str">
        <f>IF(Table1[[#This Row],[Tipo de Servicio]]="","",Caratula!$D$16)</f>
        <v/>
      </c>
      <c r="C969" s="24" t="str">
        <f>IF(Table1[[#This Row],[Tipo de Servicio]]="","",Caratula!$D$17)</f>
        <v/>
      </c>
      <c r="D969" s="38" t="str">
        <f>IF(ISBLANK(Table1[[#This Row],[Tipo de Servicio]]),"",Caratula!$D$16)</f>
        <v/>
      </c>
      <c r="F969" t="str">
        <f>_xlfn.XLOOKUP(Table1[[#This Row],[SelGZ]]&amp;Table1[[#This Row],[Tipo de Servicio]],CatPEP!A:A,CatPEP!C:C,"")</f>
        <v/>
      </c>
      <c r="G969" t="str">
        <f>_xlfn.XLOOKUP(Table1[[#This Row],[PEP]],CatPEP!C:C,CatPEP!D:D,"")</f>
        <v/>
      </c>
      <c r="O969" s="53">
        <f>SUMIF('Registro Refacciones'!B:B, I969, 'Registro Refacciones'!I:I)</f>
        <v>0</v>
      </c>
      <c r="P969" s="26">
        <f>Table1[[#This Row],[Costo Servicio]]+Table1[[#This Row],[Refacciones]]</f>
        <v>0</v>
      </c>
      <c r="Q969" s="26"/>
    </row>
    <row r="970" spans="1:17">
      <c r="A970" s="37" t="str">
        <f>IF(Table1[[#This Row],[Tipo de Servicio]]="","",Caratula!$D$15)</f>
        <v/>
      </c>
      <c r="B970" s="37" t="str">
        <f>IF(Table1[[#This Row],[Tipo de Servicio]]="","",Caratula!$D$16)</f>
        <v/>
      </c>
      <c r="C970" s="24" t="str">
        <f>IF(Table1[[#This Row],[Tipo de Servicio]]="","",Caratula!$D$17)</f>
        <v/>
      </c>
      <c r="D970" s="38" t="str">
        <f>IF(ISBLANK(Table1[[#This Row],[Tipo de Servicio]]),"",Caratula!$D$16)</f>
        <v/>
      </c>
      <c r="F970" t="str">
        <f>_xlfn.XLOOKUP(Table1[[#This Row],[SelGZ]]&amp;Table1[[#This Row],[Tipo de Servicio]],CatPEP!A:A,CatPEP!C:C,"")</f>
        <v/>
      </c>
      <c r="G970" t="str">
        <f>_xlfn.XLOOKUP(Table1[[#This Row],[PEP]],CatPEP!C:C,CatPEP!D:D,"")</f>
        <v/>
      </c>
      <c r="O970" s="53">
        <f>SUMIF('Registro Refacciones'!B:B, I970, 'Registro Refacciones'!I:I)</f>
        <v>0</v>
      </c>
      <c r="P970" s="26">
        <f>Table1[[#This Row],[Costo Servicio]]+Table1[[#This Row],[Refacciones]]</f>
        <v>0</v>
      </c>
      <c r="Q970" s="26"/>
    </row>
    <row r="971" spans="1:17">
      <c r="A971" s="37" t="str">
        <f>IF(Table1[[#This Row],[Tipo de Servicio]]="","",Caratula!$D$15)</f>
        <v/>
      </c>
      <c r="B971" s="37" t="str">
        <f>IF(Table1[[#This Row],[Tipo de Servicio]]="","",Caratula!$D$16)</f>
        <v/>
      </c>
      <c r="C971" s="24" t="str">
        <f>IF(Table1[[#This Row],[Tipo de Servicio]]="","",Caratula!$D$17)</f>
        <v/>
      </c>
      <c r="D971" s="38" t="str">
        <f>IF(ISBLANK(Table1[[#This Row],[Tipo de Servicio]]),"",Caratula!$D$16)</f>
        <v/>
      </c>
      <c r="F971" t="str">
        <f>_xlfn.XLOOKUP(Table1[[#This Row],[SelGZ]]&amp;Table1[[#This Row],[Tipo de Servicio]],CatPEP!A:A,CatPEP!C:C,"")</f>
        <v/>
      </c>
      <c r="G971" t="str">
        <f>_xlfn.XLOOKUP(Table1[[#This Row],[PEP]],CatPEP!C:C,CatPEP!D:D,"")</f>
        <v/>
      </c>
      <c r="O971" s="53">
        <f>SUMIF('Registro Refacciones'!B:B, I971, 'Registro Refacciones'!I:I)</f>
        <v>0</v>
      </c>
      <c r="P971" s="26">
        <f>Table1[[#This Row],[Costo Servicio]]+Table1[[#This Row],[Refacciones]]</f>
        <v>0</v>
      </c>
      <c r="Q971" s="26"/>
    </row>
    <row r="972" spans="1:17">
      <c r="A972" s="37" t="str">
        <f>IF(Table1[[#This Row],[Tipo de Servicio]]="","",Caratula!$D$15)</f>
        <v/>
      </c>
      <c r="B972" s="37" t="str">
        <f>IF(Table1[[#This Row],[Tipo de Servicio]]="","",Caratula!$D$16)</f>
        <v/>
      </c>
      <c r="C972" s="24" t="str">
        <f>IF(Table1[[#This Row],[Tipo de Servicio]]="","",Caratula!$D$17)</f>
        <v/>
      </c>
      <c r="D972" s="38" t="str">
        <f>IF(ISBLANK(Table1[[#This Row],[Tipo de Servicio]]),"",Caratula!$D$16)</f>
        <v/>
      </c>
      <c r="F972" t="str">
        <f>_xlfn.XLOOKUP(Table1[[#This Row],[SelGZ]]&amp;Table1[[#This Row],[Tipo de Servicio]],CatPEP!A:A,CatPEP!C:C,"")</f>
        <v/>
      </c>
      <c r="G972" t="str">
        <f>_xlfn.XLOOKUP(Table1[[#This Row],[PEP]],CatPEP!C:C,CatPEP!D:D,"")</f>
        <v/>
      </c>
      <c r="O972" s="53">
        <f>SUMIF('Registro Refacciones'!B:B, I972, 'Registro Refacciones'!I:I)</f>
        <v>0</v>
      </c>
      <c r="P972" s="26">
        <f>Table1[[#This Row],[Costo Servicio]]+Table1[[#This Row],[Refacciones]]</f>
        <v>0</v>
      </c>
      <c r="Q972" s="26"/>
    </row>
    <row r="973" spans="1:17">
      <c r="A973" s="37" t="str">
        <f>IF(Table1[[#This Row],[Tipo de Servicio]]="","",Caratula!$D$15)</f>
        <v/>
      </c>
      <c r="B973" s="37" t="str">
        <f>IF(Table1[[#This Row],[Tipo de Servicio]]="","",Caratula!$D$16)</f>
        <v/>
      </c>
      <c r="C973" s="24" t="str">
        <f>IF(Table1[[#This Row],[Tipo de Servicio]]="","",Caratula!$D$17)</f>
        <v/>
      </c>
      <c r="D973" s="38" t="str">
        <f>IF(ISBLANK(Table1[[#This Row],[Tipo de Servicio]]),"",Caratula!$D$16)</f>
        <v/>
      </c>
      <c r="F973" t="str">
        <f>_xlfn.XLOOKUP(Table1[[#This Row],[SelGZ]]&amp;Table1[[#This Row],[Tipo de Servicio]],CatPEP!A:A,CatPEP!C:C,"")</f>
        <v/>
      </c>
      <c r="G973" t="str">
        <f>_xlfn.XLOOKUP(Table1[[#This Row],[PEP]],CatPEP!C:C,CatPEP!D:D,"")</f>
        <v/>
      </c>
      <c r="O973" s="53">
        <f>SUMIF('Registro Refacciones'!B:B, I973, 'Registro Refacciones'!I:I)</f>
        <v>0</v>
      </c>
      <c r="P973" s="26">
        <f>Table1[[#This Row],[Costo Servicio]]+Table1[[#This Row],[Refacciones]]</f>
        <v>0</v>
      </c>
      <c r="Q973" s="26"/>
    </row>
    <row r="974" spans="1:17">
      <c r="A974" s="37" t="str">
        <f>IF(Table1[[#This Row],[Tipo de Servicio]]="","",Caratula!$D$15)</f>
        <v/>
      </c>
      <c r="B974" s="37" t="str">
        <f>IF(Table1[[#This Row],[Tipo de Servicio]]="","",Caratula!$D$16)</f>
        <v/>
      </c>
      <c r="C974" s="24" t="str">
        <f>IF(Table1[[#This Row],[Tipo de Servicio]]="","",Caratula!$D$17)</f>
        <v/>
      </c>
      <c r="D974" s="38" t="str">
        <f>IF(ISBLANK(Table1[[#This Row],[Tipo de Servicio]]),"",Caratula!$D$16)</f>
        <v/>
      </c>
      <c r="F974" t="str">
        <f>_xlfn.XLOOKUP(Table1[[#This Row],[SelGZ]]&amp;Table1[[#This Row],[Tipo de Servicio]],CatPEP!A:A,CatPEP!C:C,"")</f>
        <v/>
      </c>
      <c r="G974" t="str">
        <f>_xlfn.XLOOKUP(Table1[[#This Row],[PEP]],CatPEP!C:C,CatPEP!D:D,"")</f>
        <v/>
      </c>
      <c r="O974" s="53">
        <f>SUMIF('Registro Refacciones'!B:B, I974, 'Registro Refacciones'!I:I)</f>
        <v>0</v>
      </c>
      <c r="P974" s="26">
        <f>Table1[[#This Row],[Costo Servicio]]+Table1[[#This Row],[Refacciones]]</f>
        <v>0</v>
      </c>
      <c r="Q974" s="26"/>
    </row>
    <row r="975" spans="1:17">
      <c r="A975" s="37" t="str">
        <f>IF(Table1[[#This Row],[Tipo de Servicio]]="","",Caratula!$D$15)</f>
        <v/>
      </c>
      <c r="B975" s="37" t="str">
        <f>IF(Table1[[#This Row],[Tipo de Servicio]]="","",Caratula!$D$16)</f>
        <v/>
      </c>
      <c r="C975" s="24" t="str">
        <f>IF(Table1[[#This Row],[Tipo de Servicio]]="","",Caratula!$D$17)</f>
        <v/>
      </c>
      <c r="D975" s="38" t="str">
        <f>IF(ISBLANK(Table1[[#This Row],[Tipo de Servicio]]),"",Caratula!$D$16)</f>
        <v/>
      </c>
      <c r="F975" t="str">
        <f>_xlfn.XLOOKUP(Table1[[#This Row],[SelGZ]]&amp;Table1[[#This Row],[Tipo de Servicio]],CatPEP!A:A,CatPEP!C:C,"")</f>
        <v/>
      </c>
      <c r="G975" t="str">
        <f>_xlfn.XLOOKUP(Table1[[#This Row],[PEP]],CatPEP!C:C,CatPEP!D:D,"")</f>
        <v/>
      </c>
      <c r="O975" s="53">
        <f>SUMIF('Registro Refacciones'!B:B, I975, 'Registro Refacciones'!I:I)</f>
        <v>0</v>
      </c>
      <c r="P975" s="26">
        <f>Table1[[#This Row],[Costo Servicio]]+Table1[[#This Row],[Refacciones]]</f>
        <v>0</v>
      </c>
      <c r="Q975" s="26"/>
    </row>
    <row r="976" spans="1:17">
      <c r="A976" s="37" t="str">
        <f>IF(Table1[[#This Row],[Tipo de Servicio]]="","",Caratula!$D$15)</f>
        <v/>
      </c>
      <c r="B976" s="37" t="str">
        <f>IF(Table1[[#This Row],[Tipo de Servicio]]="","",Caratula!$D$16)</f>
        <v/>
      </c>
      <c r="C976" s="24" t="str">
        <f>IF(Table1[[#This Row],[Tipo de Servicio]]="","",Caratula!$D$17)</f>
        <v/>
      </c>
      <c r="D976" s="38" t="str">
        <f>IF(ISBLANK(Table1[[#This Row],[Tipo de Servicio]]),"",Caratula!$D$16)</f>
        <v/>
      </c>
      <c r="F976" t="str">
        <f>_xlfn.XLOOKUP(Table1[[#This Row],[SelGZ]]&amp;Table1[[#This Row],[Tipo de Servicio]],CatPEP!A:A,CatPEP!C:C,"")</f>
        <v/>
      </c>
      <c r="G976" t="str">
        <f>_xlfn.XLOOKUP(Table1[[#This Row],[PEP]],CatPEP!C:C,CatPEP!D:D,"")</f>
        <v/>
      </c>
      <c r="O976" s="53">
        <f>SUMIF('Registro Refacciones'!B:B, I976, 'Registro Refacciones'!I:I)</f>
        <v>0</v>
      </c>
      <c r="P976" s="26">
        <f>Table1[[#This Row],[Costo Servicio]]+Table1[[#This Row],[Refacciones]]</f>
        <v>0</v>
      </c>
      <c r="Q976" s="26"/>
    </row>
    <row r="977" spans="1:17">
      <c r="A977" s="37" t="str">
        <f>IF(Table1[[#This Row],[Tipo de Servicio]]="","",Caratula!$D$15)</f>
        <v/>
      </c>
      <c r="B977" s="37" t="str">
        <f>IF(Table1[[#This Row],[Tipo de Servicio]]="","",Caratula!$D$16)</f>
        <v/>
      </c>
      <c r="C977" s="24" t="str">
        <f>IF(Table1[[#This Row],[Tipo de Servicio]]="","",Caratula!$D$17)</f>
        <v/>
      </c>
      <c r="D977" s="38" t="str">
        <f>IF(ISBLANK(Table1[[#This Row],[Tipo de Servicio]]),"",Caratula!$D$16)</f>
        <v/>
      </c>
      <c r="F977" t="str">
        <f>_xlfn.XLOOKUP(Table1[[#This Row],[SelGZ]]&amp;Table1[[#This Row],[Tipo de Servicio]],CatPEP!A:A,CatPEP!C:C,"")</f>
        <v/>
      </c>
      <c r="G977" t="str">
        <f>_xlfn.XLOOKUP(Table1[[#This Row],[PEP]],CatPEP!C:C,CatPEP!D:D,"")</f>
        <v/>
      </c>
      <c r="O977" s="53">
        <f>SUMIF('Registro Refacciones'!B:B, I977, 'Registro Refacciones'!I:I)</f>
        <v>0</v>
      </c>
      <c r="P977" s="26">
        <f>Table1[[#This Row],[Costo Servicio]]+Table1[[#This Row],[Refacciones]]</f>
        <v>0</v>
      </c>
      <c r="Q977" s="26"/>
    </row>
    <row r="978" spans="1:17">
      <c r="A978" s="37" t="str">
        <f>IF(Table1[[#This Row],[Tipo de Servicio]]="","",Caratula!$D$15)</f>
        <v/>
      </c>
      <c r="B978" s="37" t="str">
        <f>IF(Table1[[#This Row],[Tipo de Servicio]]="","",Caratula!$D$16)</f>
        <v/>
      </c>
      <c r="C978" s="24" t="str">
        <f>IF(Table1[[#This Row],[Tipo de Servicio]]="","",Caratula!$D$17)</f>
        <v/>
      </c>
      <c r="D978" s="38" t="str">
        <f>IF(ISBLANK(Table1[[#This Row],[Tipo de Servicio]]),"",Caratula!$D$16)</f>
        <v/>
      </c>
      <c r="F978" t="str">
        <f>_xlfn.XLOOKUP(Table1[[#This Row],[SelGZ]]&amp;Table1[[#This Row],[Tipo de Servicio]],CatPEP!A:A,CatPEP!C:C,"")</f>
        <v/>
      </c>
      <c r="G978" t="str">
        <f>_xlfn.XLOOKUP(Table1[[#This Row],[PEP]],CatPEP!C:C,CatPEP!D:D,"")</f>
        <v/>
      </c>
      <c r="O978" s="53">
        <f>SUMIF('Registro Refacciones'!B:B, I978, 'Registro Refacciones'!I:I)</f>
        <v>0</v>
      </c>
      <c r="P978" s="26">
        <f>Table1[[#This Row],[Costo Servicio]]+Table1[[#This Row],[Refacciones]]</f>
        <v>0</v>
      </c>
      <c r="Q978" s="26"/>
    </row>
    <row r="979" spans="1:17">
      <c r="A979" s="37" t="str">
        <f>IF(Table1[[#This Row],[Tipo de Servicio]]="","",Caratula!$D$15)</f>
        <v/>
      </c>
      <c r="B979" s="37" t="str">
        <f>IF(Table1[[#This Row],[Tipo de Servicio]]="","",Caratula!$D$16)</f>
        <v/>
      </c>
      <c r="C979" s="24" t="str">
        <f>IF(Table1[[#This Row],[Tipo de Servicio]]="","",Caratula!$D$17)</f>
        <v/>
      </c>
      <c r="D979" s="38" t="str">
        <f>IF(ISBLANK(Table1[[#This Row],[Tipo de Servicio]]),"",Caratula!$D$16)</f>
        <v/>
      </c>
      <c r="F979" t="str">
        <f>_xlfn.XLOOKUP(Table1[[#This Row],[SelGZ]]&amp;Table1[[#This Row],[Tipo de Servicio]],CatPEP!A:A,CatPEP!C:C,"")</f>
        <v/>
      </c>
      <c r="G979" t="str">
        <f>_xlfn.XLOOKUP(Table1[[#This Row],[PEP]],CatPEP!C:C,CatPEP!D:D,"")</f>
        <v/>
      </c>
      <c r="O979" s="53">
        <f>SUMIF('Registro Refacciones'!B:B, I979, 'Registro Refacciones'!I:I)</f>
        <v>0</v>
      </c>
      <c r="P979" s="26">
        <f>Table1[[#This Row],[Costo Servicio]]+Table1[[#This Row],[Refacciones]]</f>
        <v>0</v>
      </c>
      <c r="Q979" s="26"/>
    </row>
    <row r="980" spans="1:17">
      <c r="A980" s="37" t="str">
        <f>IF(Table1[[#This Row],[Tipo de Servicio]]="","",Caratula!$D$15)</f>
        <v/>
      </c>
      <c r="B980" s="37" t="str">
        <f>IF(Table1[[#This Row],[Tipo de Servicio]]="","",Caratula!$D$16)</f>
        <v/>
      </c>
      <c r="C980" s="24" t="str">
        <f>IF(Table1[[#This Row],[Tipo de Servicio]]="","",Caratula!$D$17)</f>
        <v/>
      </c>
      <c r="D980" s="38" t="str">
        <f>IF(ISBLANK(Table1[[#This Row],[Tipo de Servicio]]),"",Caratula!$D$16)</f>
        <v/>
      </c>
      <c r="F980" t="str">
        <f>_xlfn.XLOOKUP(Table1[[#This Row],[SelGZ]]&amp;Table1[[#This Row],[Tipo de Servicio]],CatPEP!A:A,CatPEP!C:C,"")</f>
        <v/>
      </c>
      <c r="G980" t="str">
        <f>_xlfn.XLOOKUP(Table1[[#This Row],[PEP]],CatPEP!C:C,CatPEP!D:D,"")</f>
        <v/>
      </c>
      <c r="O980" s="53">
        <f>SUMIF('Registro Refacciones'!B:B, I980, 'Registro Refacciones'!I:I)</f>
        <v>0</v>
      </c>
      <c r="P980" s="26">
        <f>Table1[[#This Row],[Costo Servicio]]+Table1[[#This Row],[Refacciones]]</f>
        <v>0</v>
      </c>
      <c r="Q980" s="26"/>
    </row>
    <row r="981" spans="1:17">
      <c r="A981" s="37" t="str">
        <f>IF(Table1[[#This Row],[Tipo de Servicio]]="","",Caratula!$D$15)</f>
        <v/>
      </c>
      <c r="B981" s="37" t="str">
        <f>IF(Table1[[#This Row],[Tipo de Servicio]]="","",Caratula!$D$16)</f>
        <v/>
      </c>
      <c r="C981" s="24" t="str">
        <f>IF(Table1[[#This Row],[Tipo de Servicio]]="","",Caratula!$D$17)</f>
        <v/>
      </c>
      <c r="D981" s="38" t="str">
        <f>IF(ISBLANK(Table1[[#This Row],[Tipo de Servicio]]),"",Caratula!$D$16)</f>
        <v/>
      </c>
      <c r="F981" t="str">
        <f>_xlfn.XLOOKUP(Table1[[#This Row],[SelGZ]]&amp;Table1[[#This Row],[Tipo de Servicio]],CatPEP!A:A,CatPEP!C:C,"")</f>
        <v/>
      </c>
      <c r="G981" t="str">
        <f>_xlfn.XLOOKUP(Table1[[#This Row],[PEP]],CatPEP!C:C,CatPEP!D:D,"")</f>
        <v/>
      </c>
      <c r="O981" s="53">
        <f>SUMIF('Registro Refacciones'!B:B, I981, 'Registro Refacciones'!I:I)</f>
        <v>0</v>
      </c>
      <c r="P981" s="26">
        <f>Table1[[#This Row],[Costo Servicio]]+Table1[[#This Row],[Refacciones]]</f>
        <v>0</v>
      </c>
      <c r="Q981" s="26"/>
    </row>
    <row r="982" spans="1:17">
      <c r="A982" s="37" t="str">
        <f>IF(Table1[[#This Row],[Tipo de Servicio]]="","",Caratula!$D$15)</f>
        <v/>
      </c>
      <c r="B982" s="37" t="str">
        <f>IF(Table1[[#This Row],[Tipo de Servicio]]="","",Caratula!$D$16)</f>
        <v/>
      </c>
      <c r="C982" s="24" t="str">
        <f>IF(Table1[[#This Row],[Tipo de Servicio]]="","",Caratula!$D$17)</f>
        <v/>
      </c>
      <c r="D982" s="38" t="str">
        <f>IF(ISBLANK(Table1[[#This Row],[Tipo de Servicio]]),"",Caratula!$D$16)</f>
        <v/>
      </c>
      <c r="F982" t="str">
        <f>_xlfn.XLOOKUP(Table1[[#This Row],[SelGZ]]&amp;Table1[[#This Row],[Tipo de Servicio]],CatPEP!A:A,CatPEP!C:C,"")</f>
        <v/>
      </c>
      <c r="G982" t="str">
        <f>_xlfn.XLOOKUP(Table1[[#This Row],[PEP]],CatPEP!C:C,CatPEP!D:D,"")</f>
        <v/>
      </c>
      <c r="O982" s="53">
        <f>SUMIF('Registro Refacciones'!B:B, I982, 'Registro Refacciones'!I:I)</f>
        <v>0</v>
      </c>
      <c r="P982" s="26">
        <f>Table1[[#This Row],[Costo Servicio]]+Table1[[#This Row],[Refacciones]]</f>
        <v>0</v>
      </c>
      <c r="Q982" s="26"/>
    </row>
    <row r="983" spans="1:17">
      <c r="A983" s="37" t="str">
        <f>IF(Table1[[#This Row],[Tipo de Servicio]]="","",Caratula!$D$15)</f>
        <v/>
      </c>
      <c r="B983" s="37" t="str">
        <f>IF(Table1[[#This Row],[Tipo de Servicio]]="","",Caratula!$D$16)</f>
        <v/>
      </c>
      <c r="C983" s="24" t="str">
        <f>IF(Table1[[#This Row],[Tipo de Servicio]]="","",Caratula!$D$17)</f>
        <v/>
      </c>
      <c r="D983" s="38" t="str">
        <f>IF(ISBLANK(Table1[[#This Row],[Tipo de Servicio]]),"",Caratula!$D$16)</f>
        <v/>
      </c>
      <c r="F983" t="str">
        <f>_xlfn.XLOOKUP(Table1[[#This Row],[SelGZ]]&amp;Table1[[#This Row],[Tipo de Servicio]],CatPEP!A:A,CatPEP!C:C,"")</f>
        <v/>
      </c>
      <c r="G983" t="str">
        <f>_xlfn.XLOOKUP(Table1[[#This Row],[PEP]],CatPEP!C:C,CatPEP!D:D,"")</f>
        <v/>
      </c>
      <c r="O983" s="53">
        <f>SUMIF('Registro Refacciones'!B:B, I983, 'Registro Refacciones'!I:I)</f>
        <v>0</v>
      </c>
      <c r="P983" s="26">
        <f>Table1[[#This Row],[Costo Servicio]]+Table1[[#This Row],[Refacciones]]</f>
        <v>0</v>
      </c>
      <c r="Q983" s="26"/>
    </row>
    <row r="984" spans="1:17">
      <c r="A984" s="37" t="str">
        <f>IF(Table1[[#This Row],[Tipo de Servicio]]="","",Caratula!$D$15)</f>
        <v/>
      </c>
      <c r="B984" s="37" t="str">
        <f>IF(Table1[[#This Row],[Tipo de Servicio]]="","",Caratula!$D$16)</f>
        <v/>
      </c>
      <c r="C984" s="24" t="str">
        <f>IF(Table1[[#This Row],[Tipo de Servicio]]="","",Caratula!$D$17)</f>
        <v/>
      </c>
      <c r="D984" s="38" t="str">
        <f>IF(ISBLANK(Table1[[#This Row],[Tipo de Servicio]]),"",Caratula!$D$16)</f>
        <v/>
      </c>
      <c r="F984" t="str">
        <f>_xlfn.XLOOKUP(Table1[[#This Row],[SelGZ]]&amp;Table1[[#This Row],[Tipo de Servicio]],CatPEP!A:A,CatPEP!C:C,"")</f>
        <v/>
      </c>
      <c r="G984" t="str">
        <f>_xlfn.XLOOKUP(Table1[[#This Row],[PEP]],CatPEP!C:C,CatPEP!D:D,"")</f>
        <v/>
      </c>
      <c r="O984" s="53">
        <f>SUMIF('Registro Refacciones'!B:B, I984, 'Registro Refacciones'!I:I)</f>
        <v>0</v>
      </c>
      <c r="P984" s="26">
        <f>Table1[[#This Row],[Costo Servicio]]+Table1[[#This Row],[Refacciones]]</f>
        <v>0</v>
      </c>
      <c r="Q984" s="26"/>
    </row>
    <row r="985" spans="1:17">
      <c r="A985" s="37" t="str">
        <f>IF(Table1[[#This Row],[Tipo de Servicio]]="","",Caratula!$D$15)</f>
        <v/>
      </c>
      <c r="B985" s="37" t="str">
        <f>IF(Table1[[#This Row],[Tipo de Servicio]]="","",Caratula!$D$16)</f>
        <v/>
      </c>
      <c r="C985" s="24" t="str">
        <f>IF(Table1[[#This Row],[Tipo de Servicio]]="","",Caratula!$D$17)</f>
        <v/>
      </c>
      <c r="D985" s="38" t="str">
        <f>IF(ISBLANK(Table1[[#This Row],[Tipo de Servicio]]),"",Caratula!$D$16)</f>
        <v/>
      </c>
      <c r="F985" t="str">
        <f>_xlfn.XLOOKUP(Table1[[#This Row],[SelGZ]]&amp;Table1[[#This Row],[Tipo de Servicio]],CatPEP!A:A,CatPEP!C:C,"")</f>
        <v/>
      </c>
      <c r="G985" t="str">
        <f>_xlfn.XLOOKUP(Table1[[#This Row],[PEP]],CatPEP!C:C,CatPEP!D:D,"")</f>
        <v/>
      </c>
      <c r="O985" s="53">
        <f>SUMIF('Registro Refacciones'!B:B, I985, 'Registro Refacciones'!I:I)</f>
        <v>0</v>
      </c>
      <c r="P985" s="26">
        <f>Table1[[#This Row],[Costo Servicio]]+Table1[[#This Row],[Refacciones]]</f>
        <v>0</v>
      </c>
      <c r="Q985" s="26"/>
    </row>
    <row r="986" spans="1:17">
      <c r="A986" s="37" t="str">
        <f>IF(Table1[[#This Row],[Tipo de Servicio]]="","",Caratula!$D$15)</f>
        <v/>
      </c>
      <c r="B986" s="37" t="str">
        <f>IF(Table1[[#This Row],[Tipo de Servicio]]="","",Caratula!$D$16)</f>
        <v/>
      </c>
      <c r="C986" s="24" t="str">
        <f>IF(Table1[[#This Row],[Tipo de Servicio]]="","",Caratula!$D$17)</f>
        <v/>
      </c>
      <c r="D986" s="38" t="str">
        <f>IF(ISBLANK(Table1[[#This Row],[Tipo de Servicio]]),"",Caratula!$D$16)</f>
        <v/>
      </c>
      <c r="F986" t="str">
        <f>_xlfn.XLOOKUP(Table1[[#This Row],[SelGZ]]&amp;Table1[[#This Row],[Tipo de Servicio]],CatPEP!A:A,CatPEP!C:C,"")</f>
        <v/>
      </c>
      <c r="G986" t="str">
        <f>_xlfn.XLOOKUP(Table1[[#This Row],[PEP]],CatPEP!C:C,CatPEP!D:D,"")</f>
        <v/>
      </c>
      <c r="O986" s="53">
        <f>SUMIF('Registro Refacciones'!B:B, I986, 'Registro Refacciones'!I:I)</f>
        <v>0</v>
      </c>
      <c r="P986" s="26">
        <f>Table1[[#This Row],[Costo Servicio]]+Table1[[#This Row],[Refacciones]]</f>
        <v>0</v>
      </c>
      <c r="Q986" s="26"/>
    </row>
    <row r="987" spans="1:17">
      <c r="A987" s="37" t="str">
        <f>IF(Table1[[#This Row],[Tipo de Servicio]]="","",Caratula!$D$15)</f>
        <v/>
      </c>
      <c r="B987" s="37" t="str">
        <f>IF(Table1[[#This Row],[Tipo de Servicio]]="","",Caratula!$D$16)</f>
        <v/>
      </c>
      <c r="C987" s="24" t="str">
        <f>IF(Table1[[#This Row],[Tipo de Servicio]]="","",Caratula!$D$17)</f>
        <v/>
      </c>
      <c r="D987" s="38" t="str">
        <f>IF(ISBLANK(Table1[[#This Row],[Tipo de Servicio]]),"",Caratula!$D$16)</f>
        <v/>
      </c>
      <c r="F987" t="str">
        <f>_xlfn.XLOOKUP(Table1[[#This Row],[SelGZ]]&amp;Table1[[#This Row],[Tipo de Servicio]],CatPEP!A:A,CatPEP!C:C,"")</f>
        <v/>
      </c>
      <c r="G987" t="str">
        <f>_xlfn.XLOOKUP(Table1[[#This Row],[PEP]],CatPEP!C:C,CatPEP!D:D,"")</f>
        <v/>
      </c>
      <c r="O987" s="53">
        <f>SUMIF('Registro Refacciones'!B:B, I987, 'Registro Refacciones'!I:I)</f>
        <v>0</v>
      </c>
      <c r="P987" s="26">
        <f>Table1[[#This Row],[Costo Servicio]]+Table1[[#This Row],[Refacciones]]</f>
        <v>0</v>
      </c>
      <c r="Q987" s="26"/>
    </row>
    <row r="988" spans="1:17">
      <c r="A988" s="37" t="str">
        <f>IF(Table1[[#This Row],[Tipo de Servicio]]="","",Caratula!$D$15)</f>
        <v/>
      </c>
      <c r="B988" s="37" t="str">
        <f>IF(Table1[[#This Row],[Tipo de Servicio]]="","",Caratula!$D$16)</f>
        <v/>
      </c>
      <c r="C988" s="24" t="str">
        <f>IF(Table1[[#This Row],[Tipo de Servicio]]="","",Caratula!$D$17)</f>
        <v/>
      </c>
      <c r="D988" s="38" t="str">
        <f>IF(ISBLANK(Table1[[#This Row],[Tipo de Servicio]]),"",Caratula!$D$16)</f>
        <v/>
      </c>
      <c r="F988" t="str">
        <f>_xlfn.XLOOKUP(Table1[[#This Row],[SelGZ]]&amp;Table1[[#This Row],[Tipo de Servicio]],CatPEP!A:A,CatPEP!C:C,"")</f>
        <v/>
      </c>
      <c r="G988" t="str">
        <f>_xlfn.XLOOKUP(Table1[[#This Row],[PEP]],CatPEP!C:C,CatPEP!D:D,"")</f>
        <v/>
      </c>
      <c r="O988" s="53">
        <f>SUMIF('Registro Refacciones'!B:B, I988, 'Registro Refacciones'!I:I)</f>
        <v>0</v>
      </c>
      <c r="P988" s="26">
        <f>Table1[[#This Row],[Costo Servicio]]+Table1[[#This Row],[Refacciones]]</f>
        <v>0</v>
      </c>
      <c r="Q988" s="26"/>
    </row>
    <row r="989" spans="1:17">
      <c r="A989" s="37" t="str">
        <f>IF(Table1[[#This Row],[Tipo de Servicio]]="","",Caratula!$D$15)</f>
        <v/>
      </c>
      <c r="B989" s="37" t="str">
        <f>IF(Table1[[#This Row],[Tipo de Servicio]]="","",Caratula!$D$16)</f>
        <v/>
      </c>
      <c r="C989" s="24" t="str">
        <f>IF(Table1[[#This Row],[Tipo de Servicio]]="","",Caratula!$D$17)</f>
        <v/>
      </c>
      <c r="D989" s="38" t="str">
        <f>IF(ISBLANK(Table1[[#This Row],[Tipo de Servicio]]),"",Caratula!$D$16)</f>
        <v/>
      </c>
      <c r="F989" t="str">
        <f>_xlfn.XLOOKUP(Table1[[#This Row],[SelGZ]]&amp;Table1[[#This Row],[Tipo de Servicio]],CatPEP!A:A,CatPEP!C:C,"")</f>
        <v/>
      </c>
      <c r="G989" t="str">
        <f>_xlfn.XLOOKUP(Table1[[#This Row],[PEP]],CatPEP!C:C,CatPEP!D:D,"")</f>
        <v/>
      </c>
      <c r="O989" s="53">
        <f>SUMIF('Registro Refacciones'!B:B, I989, 'Registro Refacciones'!I:I)</f>
        <v>0</v>
      </c>
      <c r="P989" s="26">
        <f>Table1[[#This Row],[Costo Servicio]]+Table1[[#This Row],[Refacciones]]</f>
        <v>0</v>
      </c>
      <c r="Q989" s="26"/>
    </row>
    <row r="990" spans="1:17">
      <c r="A990" s="37" t="str">
        <f>IF(Table1[[#This Row],[Tipo de Servicio]]="","",Caratula!$D$15)</f>
        <v/>
      </c>
      <c r="B990" s="37" t="str">
        <f>IF(Table1[[#This Row],[Tipo de Servicio]]="","",Caratula!$D$16)</f>
        <v/>
      </c>
      <c r="C990" s="24" t="str">
        <f>IF(Table1[[#This Row],[Tipo de Servicio]]="","",Caratula!$D$17)</f>
        <v/>
      </c>
      <c r="D990" s="38" t="str">
        <f>IF(ISBLANK(Table1[[#This Row],[Tipo de Servicio]]),"",Caratula!$D$16)</f>
        <v/>
      </c>
      <c r="F990" t="str">
        <f>_xlfn.XLOOKUP(Table1[[#This Row],[SelGZ]]&amp;Table1[[#This Row],[Tipo de Servicio]],CatPEP!A:A,CatPEP!C:C,"")</f>
        <v/>
      </c>
      <c r="G990" t="str">
        <f>_xlfn.XLOOKUP(Table1[[#This Row],[PEP]],CatPEP!C:C,CatPEP!D:D,"")</f>
        <v/>
      </c>
      <c r="O990" s="53">
        <f>SUMIF('Registro Refacciones'!B:B, I990, 'Registro Refacciones'!I:I)</f>
        <v>0</v>
      </c>
      <c r="P990" s="26">
        <f>Table1[[#This Row],[Costo Servicio]]+Table1[[#This Row],[Refacciones]]</f>
        <v>0</v>
      </c>
      <c r="Q990" s="26"/>
    </row>
    <row r="991" spans="1:17">
      <c r="A991" s="37" t="str">
        <f>IF(Table1[[#This Row],[Tipo de Servicio]]="","",Caratula!$D$15)</f>
        <v/>
      </c>
      <c r="B991" s="37" t="str">
        <f>IF(Table1[[#This Row],[Tipo de Servicio]]="","",Caratula!$D$16)</f>
        <v/>
      </c>
      <c r="C991" s="24" t="str">
        <f>IF(Table1[[#This Row],[Tipo de Servicio]]="","",Caratula!$D$17)</f>
        <v/>
      </c>
      <c r="D991" s="38" t="str">
        <f>IF(ISBLANK(Table1[[#This Row],[Tipo de Servicio]]),"",Caratula!$D$16)</f>
        <v/>
      </c>
      <c r="F991" t="str">
        <f>_xlfn.XLOOKUP(Table1[[#This Row],[SelGZ]]&amp;Table1[[#This Row],[Tipo de Servicio]],CatPEP!A:A,CatPEP!C:C,"")</f>
        <v/>
      </c>
      <c r="G991" t="str">
        <f>_xlfn.XLOOKUP(Table1[[#This Row],[PEP]],CatPEP!C:C,CatPEP!D:D,"")</f>
        <v/>
      </c>
      <c r="O991" s="53">
        <f>SUMIF('Registro Refacciones'!B:B, I991, 'Registro Refacciones'!I:I)</f>
        <v>0</v>
      </c>
      <c r="P991" s="26">
        <f>Table1[[#This Row],[Costo Servicio]]+Table1[[#This Row],[Refacciones]]</f>
        <v>0</v>
      </c>
      <c r="Q991" s="26"/>
    </row>
    <row r="992" spans="1:17">
      <c r="A992" s="37" t="str">
        <f>IF(Table1[[#This Row],[Tipo de Servicio]]="","",Caratula!$D$15)</f>
        <v/>
      </c>
      <c r="B992" s="37" t="str">
        <f>IF(Table1[[#This Row],[Tipo de Servicio]]="","",Caratula!$D$16)</f>
        <v/>
      </c>
      <c r="C992" s="24" t="str">
        <f>IF(Table1[[#This Row],[Tipo de Servicio]]="","",Caratula!$D$17)</f>
        <v/>
      </c>
      <c r="D992" s="38" t="str">
        <f>IF(ISBLANK(Table1[[#This Row],[Tipo de Servicio]]),"",Caratula!$D$16)</f>
        <v/>
      </c>
      <c r="F992" t="str">
        <f>_xlfn.XLOOKUP(Table1[[#This Row],[SelGZ]]&amp;Table1[[#This Row],[Tipo de Servicio]],CatPEP!A:A,CatPEP!C:C,"")</f>
        <v/>
      </c>
      <c r="G992" t="str">
        <f>_xlfn.XLOOKUP(Table1[[#This Row],[PEP]],CatPEP!C:C,CatPEP!D:D,"")</f>
        <v/>
      </c>
      <c r="O992" s="53">
        <f>SUMIF('Registro Refacciones'!B:B, I992, 'Registro Refacciones'!I:I)</f>
        <v>0</v>
      </c>
      <c r="P992" s="26">
        <f>Table1[[#This Row],[Costo Servicio]]+Table1[[#This Row],[Refacciones]]</f>
        <v>0</v>
      </c>
      <c r="Q992" s="26"/>
    </row>
    <row r="993" spans="1:17">
      <c r="A993" s="37" t="str">
        <f>IF(Table1[[#This Row],[Tipo de Servicio]]="","",Caratula!$D$15)</f>
        <v/>
      </c>
      <c r="B993" s="37" t="str">
        <f>IF(Table1[[#This Row],[Tipo de Servicio]]="","",Caratula!$D$16)</f>
        <v/>
      </c>
      <c r="C993" s="24" t="str">
        <f>IF(Table1[[#This Row],[Tipo de Servicio]]="","",Caratula!$D$17)</f>
        <v/>
      </c>
      <c r="D993" s="38" t="str">
        <f>IF(ISBLANK(Table1[[#This Row],[Tipo de Servicio]]),"",Caratula!$D$16)</f>
        <v/>
      </c>
      <c r="F993" t="str">
        <f>_xlfn.XLOOKUP(Table1[[#This Row],[SelGZ]]&amp;Table1[[#This Row],[Tipo de Servicio]],CatPEP!A:A,CatPEP!C:C,"")</f>
        <v/>
      </c>
      <c r="G993" t="str">
        <f>_xlfn.XLOOKUP(Table1[[#This Row],[PEP]],CatPEP!C:C,CatPEP!D:D,"")</f>
        <v/>
      </c>
      <c r="O993" s="53">
        <f>SUMIF('Registro Refacciones'!B:B, I993, 'Registro Refacciones'!I:I)</f>
        <v>0</v>
      </c>
      <c r="P993" s="26">
        <f>Table1[[#This Row],[Costo Servicio]]+Table1[[#This Row],[Refacciones]]</f>
        <v>0</v>
      </c>
      <c r="Q993" s="26"/>
    </row>
    <row r="994" spans="1:17">
      <c r="A994" s="37" t="str">
        <f>IF(Table1[[#This Row],[Tipo de Servicio]]="","",Caratula!$D$15)</f>
        <v/>
      </c>
      <c r="B994" s="37" t="str">
        <f>IF(Table1[[#This Row],[Tipo de Servicio]]="","",Caratula!$D$16)</f>
        <v/>
      </c>
      <c r="C994" s="24" t="str">
        <f>IF(Table1[[#This Row],[Tipo de Servicio]]="","",Caratula!$D$17)</f>
        <v/>
      </c>
      <c r="D994" s="38" t="str">
        <f>IF(ISBLANK(Table1[[#This Row],[Tipo de Servicio]]),"",Caratula!$D$16)</f>
        <v/>
      </c>
      <c r="F994" t="str">
        <f>_xlfn.XLOOKUP(Table1[[#This Row],[SelGZ]]&amp;Table1[[#This Row],[Tipo de Servicio]],CatPEP!A:A,CatPEP!C:C,"")</f>
        <v/>
      </c>
      <c r="G994" t="str">
        <f>_xlfn.XLOOKUP(Table1[[#This Row],[PEP]],CatPEP!C:C,CatPEP!D:D,"")</f>
        <v/>
      </c>
      <c r="O994" s="53">
        <f>SUMIF('Registro Refacciones'!B:B, I994, 'Registro Refacciones'!I:I)</f>
        <v>0</v>
      </c>
      <c r="P994" s="26">
        <f>Table1[[#This Row],[Costo Servicio]]+Table1[[#This Row],[Refacciones]]</f>
        <v>0</v>
      </c>
      <c r="Q994" s="26"/>
    </row>
    <row r="995" spans="1:17">
      <c r="A995" s="37" t="str">
        <f>IF(Table1[[#This Row],[Tipo de Servicio]]="","",Caratula!$D$15)</f>
        <v/>
      </c>
      <c r="B995" s="37" t="str">
        <f>IF(Table1[[#This Row],[Tipo de Servicio]]="","",Caratula!$D$16)</f>
        <v/>
      </c>
      <c r="C995" s="24" t="str">
        <f>IF(Table1[[#This Row],[Tipo de Servicio]]="","",Caratula!$D$17)</f>
        <v/>
      </c>
      <c r="D995" s="38" t="str">
        <f>IF(ISBLANK(Table1[[#This Row],[Tipo de Servicio]]),"",Caratula!$D$16)</f>
        <v/>
      </c>
      <c r="F995" t="str">
        <f>_xlfn.XLOOKUP(Table1[[#This Row],[SelGZ]]&amp;Table1[[#This Row],[Tipo de Servicio]],CatPEP!A:A,CatPEP!C:C,"")</f>
        <v/>
      </c>
      <c r="G995" t="str">
        <f>_xlfn.XLOOKUP(Table1[[#This Row],[PEP]],CatPEP!C:C,CatPEP!D:D,"")</f>
        <v/>
      </c>
      <c r="O995" s="53">
        <f>SUMIF('Registro Refacciones'!B:B, I995, 'Registro Refacciones'!I:I)</f>
        <v>0</v>
      </c>
      <c r="P995" s="26">
        <f>Table1[[#This Row],[Costo Servicio]]+Table1[[#This Row],[Refacciones]]</f>
        <v>0</v>
      </c>
      <c r="Q995" s="26"/>
    </row>
    <row r="996" spans="1:17">
      <c r="A996" s="37" t="str">
        <f>IF(Table1[[#This Row],[Tipo de Servicio]]="","",Caratula!$D$15)</f>
        <v/>
      </c>
      <c r="B996" s="37" t="str">
        <f>IF(Table1[[#This Row],[Tipo de Servicio]]="","",Caratula!$D$16)</f>
        <v/>
      </c>
      <c r="C996" s="24" t="str">
        <f>IF(Table1[[#This Row],[Tipo de Servicio]]="","",Caratula!$D$17)</f>
        <v/>
      </c>
      <c r="D996" s="38" t="str">
        <f>IF(ISBLANK(Table1[[#This Row],[Tipo de Servicio]]),"",Caratula!$D$16)</f>
        <v/>
      </c>
      <c r="F996" t="str">
        <f>_xlfn.XLOOKUP(Table1[[#This Row],[SelGZ]]&amp;Table1[[#This Row],[Tipo de Servicio]],CatPEP!A:A,CatPEP!C:C,"")</f>
        <v/>
      </c>
      <c r="G996" t="str">
        <f>_xlfn.XLOOKUP(Table1[[#This Row],[PEP]],CatPEP!C:C,CatPEP!D:D,"")</f>
        <v/>
      </c>
      <c r="O996" s="53">
        <f>SUMIF('Registro Refacciones'!B:B, I996, 'Registro Refacciones'!I:I)</f>
        <v>0</v>
      </c>
      <c r="P996" s="26">
        <f>Table1[[#This Row],[Costo Servicio]]+Table1[[#This Row],[Refacciones]]</f>
        <v>0</v>
      </c>
      <c r="Q996" s="26"/>
    </row>
    <row r="997" spans="1:17">
      <c r="A997" s="37" t="str">
        <f>IF(Table1[[#This Row],[Tipo de Servicio]]="","",Caratula!$D$15)</f>
        <v/>
      </c>
      <c r="B997" s="37" t="str">
        <f>IF(Table1[[#This Row],[Tipo de Servicio]]="","",Caratula!$D$16)</f>
        <v/>
      </c>
      <c r="C997" s="24" t="str">
        <f>IF(Table1[[#This Row],[Tipo de Servicio]]="","",Caratula!$D$17)</f>
        <v/>
      </c>
      <c r="D997" s="38" t="str">
        <f>IF(ISBLANK(Table1[[#This Row],[Tipo de Servicio]]),"",Caratula!$D$16)</f>
        <v/>
      </c>
      <c r="F997" t="str">
        <f>_xlfn.XLOOKUP(Table1[[#This Row],[SelGZ]]&amp;Table1[[#This Row],[Tipo de Servicio]],CatPEP!A:A,CatPEP!C:C,"")</f>
        <v/>
      </c>
      <c r="G997" t="str">
        <f>_xlfn.XLOOKUP(Table1[[#This Row],[PEP]],CatPEP!C:C,CatPEP!D:D,"")</f>
        <v/>
      </c>
      <c r="O997" s="53">
        <f>SUMIF('Registro Refacciones'!B:B, I997, 'Registro Refacciones'!I:I)</f>
        <v>0</v>
      </c>
      <c r="P997" s="26">
        <f>Table1[[#This Row],[Costo Servicio]]+Table1[[#This Row],[Refacciones]]</f>
        <v>0</v>
      </c>
      <c r="Q997" s="26"/>
    </row>
    <row r="998" spans="1:17">
      <c r="A998" s="37" t="str">
        <f>IF(Table1[[#This Row],[Tipo de Servicio]]="","",Caratula!$D$15)</f>
        <v/>
      </c>
      <c r="B998" s="37" t="str">
        <f>IF(Table1[[#This Row],[Tipo de Servicio]]="","",Caratula!$D$16)</f>
        <v/>
      </c>
      <c r="C998" s="24" t="str">
        <f>IF(Table1[[#This Row],[Tipo de Servicio]]="","",Caratula!$D$17)</f>
        <v/>
      </c>
      <c r="D998" s="38" t="str">
        <f>IF(ISBLANK(Table1[[#This Row],[Tipo de Servicio]]),"",Caratula!$D$16)</f>
        <v/>
      </c>
      <c r="F998" t="str">
        <f>_xlfn.XLOOKUP(Table1[[#This Row],[SelGZ]]&amp;Table1[[#This Row],[Tipo de Servicio]],CatPEP!A:A,CatPEP!C:C,"")</f>
        <v/>
      </c>
      <c r="G998" t="str">
        <f>_xlfn.XLOOKUP(Table1[[#This Row],[PEP]],CatPEP!C:C,CatPEP!D:D,"")</f>
        <v/>
      </c>
      <c r="O998" s="53">
        <f>SUMIF('Registro Refacciones'!B:B, I998, 'Registro Refacciones'!I:I)</f>
        <v>0</v>
      </c>
      <c r="P998" s="26">
        <f>Table1[[#This Row],[Costo Servicio]]+Table1[[#This Row],[Refacciones]]</f>
        <v>0</v>
      </c>
      <c r="Q998" s="26"/>
    </row>
    <row r="999" spans="1:17">
      <c r="A999" s="37" t="str">
        <f>IF(Table1[[#This Row],[Tipo de Servicio]]="","",Caratula!$D$15)</f>
        <v/>
      </c>
      <c r="B999" s="37" t="str">
        <f>IF(Table1[[#This Row],[Tipo de Servicio]]="","",Caratula!$D$16)</f>
        <v/>
      </c>
      <c r="C999" s="24" t="str">
        <f>IF(Table1[[#This Row],[Tipo de Servicio]]="","",Caratula!$D$17)</f>
        <v/>
      </c>
      <c r="D999" s="38" t="str">
        <f>IF(ISBLANK(Table1[[#This Row],[Tipo de Servicio]]),"",Caratula!$D$16)</f>
        <v/>
      </c>
      <c r="F999" t="str">
        <f>_xlfn.XLOOKUP(Table1[[#This Row],[SelGZ]]&amp;Table1[[#This Row],[Tipo de Servicio]],CatPEP!A:A,CatPEP!C:C,"")</f>
        <v/>
      </c>
      <c r="G999" t="str">
        <f>_xlfn.XLOOKUP(Table1[[#This Row],[PEP]],CatPEP!C:C,CatPEP!D:D,"")</f>
        <v/>
      </c>
      <c r="O999" s="53">
        <f>SUMIF('Registro Refacciones'!B:B, I999, 'Registro Refacciones'!I:I)</f>
        <v>0</v>
      </c>
      <c r="P999" s="26">
        <f>Table1[[#This Row],[Costo Servicio]]+Table1[[#This Row],[Refacciones]]</f>
        <v>0</v>
      </c>
      <c r="Q999" s="26"/>
    </row>
    <row r="1000" spans="1:17">
      <c r="A1000" s="37" t="str">
        <f>IF(Table1[[#This Row],[Tipo de Servicio]]="","",Caratula!$D$15)</f>
        <v/>
      </c>
      <c r="B1000" s="37" t="str">
        <f>IF(Table1[[#This Row],[Tipo de Servicio]]="","",Caratula!$D$16)</f>
        <v/>
      </c>
      <c r="C1000" s="24" t="str">
        <f>IF(Table1[[#This Row],[Tipo de Servicio]]="","",Caratula!$D$17)</f>
        <v/>
      </c>
      <c r="D1000" s="38" t="str">
        <f>IF(ISBLANK(Table1[[#This Row],[Tipo de Servicio]]),"",Caratula!$D$16)</f>
        <v/>
      </c>
      <c r="F1000" t="str">
        <f>_xlfn.XLOOKUP(Table1[[#This Row],[SelGZ]]&amp;Table1[[#This Row],[Tipo de Servicio]],CatPEP!A:A,CatPEP!C:C,"")</f>
        <v/>
      </c>
      <c r="G1000" t="str">
        <f>_xlfn.XLOOKUP(Table1[[#This Row],[PEP]],CatPEP!C:C,CatPEP!D:D,"")</f>
        <v/>
      </c>
      <c r="O1000" s="53">
        <f>SUMIF('Registro Refacciones'!B:B, I1000, 'Registro Refacciones'!I:I)</f>
        <v>0</v>
      </c>
      <c r="P1000" s="26">
        <f>Table1[[#This Row],[Costo Servicio]]+Table1[[#This Row],[Refacciones]]</f>
        <v>0</v>
      </c>
      <c r="Q1000" s="26"/>
    </row>
    <row r="1001" spans="1:17">
      <c r="A1001" s="37" t="str">
        <f>IF(Table1[[#This Row],[Tipo de Servicio]]="","",Caratula!$D$15)</f>
        <v/>
      </c>
      <c r="B1001" s="37" t="str">
        <f>IF(Table1[[#This Row],[Tipo de Servicio]]="","",Caratula!$D$16)</f>
        <v/>
      </c>
      <c r="C1001" s="24" t="str">
        <f>IF(Table1[[#This Row],[Tipo de Servicio]]="","",Caratula!$D$17)</f>
        <v/>
      </c>
      <c r="D1001" s="38" t="str">
        <f>IF(ISBLANK(Table1[[#This Row],[Tipo de Servicio]]),"",Caratula!$D$16)</f>
        <v/>
      </c>
      <c r="F1001" t="str">
        <f>_xlfn.XLOOKUP(Table1[[#This Row],[SelGZ]]&amp;Table1[[#This Row],[Tipo de Servicio]],CatPEP!A:A,CatPEP!C:C,"")</f>
        <v/>
      </c>
      <c r="G1001" t="str">
        <f>_xlfn.XLOOKUP(Table1[[#This Row],[PEP]],CatPEP!C:C,CatPEP!D:D,"")</f>
        <v/>
      </c>
      <c r="O1001" s="53">
        <f>SUMIF('Registro Refacciones'!B:B, I1001, 'Registro Refacciones'!I:I)</f>
        <v>0</v>
      </c>
      <c r="P1001" s="26">
        <f>Table1[[#This Row],[Costo Servicio]]+Table1[[#This Row],[Refacciones]]</f>
        <v>0</v>
      </c>
      <c r="Q1001" s="26"/>
    </row>
  </sheetData>
  <sheetProtection algorithmName="SHA-512" hashValue="Go8/59IhziZJzCuyS4HTehzFQFX18RHNOPQYYbuxD+2cdTiuab7rhyPwU9MkNWB0unWuc76kCujlQzy7olG3fg==" saltValue="WIZyHAN+6jn6bDcv1cGUcg==" spinCount="100000" sheet="1" formatCells="0" formatColumns="0" formatRows="0" insertColumns="0" insertRows="0" insertHyperlinks="0" deleteColumns="0" deleteRows="0" sort="0" autoFilter="0" pivotTables="0"/>
  <conditionalFormatting sqref="H2">
    <cfRule type="duplicateValues" dxfId="64" priority="1"/>
  </conditionalFormatting>
  <conditionalFormatting sqref="I1 I3:I1048576">
    <cfRule type="duplicateValues" dxfId="63" priority="6"/>
  </conditionalFormatting>
  <conditionalFormatting sqref="K1:L1 K3:L1048576">
    <cfRule type="expression" dxfId="62" priority="16">
      <formula>OR($E1="INSTALACION - MOBILIARIO",$E1="RETIRO - MOBILIARIO" )</formula>
    </cfRule>
  </conditionalFormatting>
  <conditionalFormatting sqref="M1:M1048576">
    <cfRule type="cellIs" priority="7" stopIfTrue="1" operator="equal">
      <formula>"Fecha Cierre"</formula>
    </cfRule>
    <cfRule type="containsBlanks" priority="8" stopIfTrue="1">
      <formula>LEN(TRIM(M1))=0</formula>
    </cfRule>
  </conditionalFormatting>
  <conditionalFormatting sqref="O1:O1048576">
    <cfRule type="expression" dxfId="61" priority="5">
      <formula>LEFT($E1,7)="RECARGA"</formula>
    </cfRule>
    <cfRule type="expression" dxfId="60" priority="14">
      <formula>LEFT($E1,6)="RETIRO"</formula>
    </cfRule>
    <cfRule type="expression" dxfId="59" priority="15">
      <formula>LEFT($E1,11)="INSTALACION"</formula>
    </cfRule>
  </conditionalFormatting>
  <dataValidations count="1">
    <dataValidation type="list" allowBlank="1" showInputMessage="1" showErrorMessage="1" sqref="E2:E1001" xr:uid="{00000000-0002-0000-0100-000000000000}">
      <formula1>Tipo_de_Servicio</formula1>
    </dataValidation>
  </dataValidations>
  <pageMargins left="0.7" right="0.7" top="0.75" bottom="0.75" header="0.3" footer="0.3"/>
  <pageSetup scale="54" orientation="portrait" horizontalDpi="1200" verticalDpi="12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" operator="notBetween" id="{5CAD0D31-8106-4507-8A2A-5DAF8011E6BB}">
            <xm:f>Caratula!$C$20</xm:f>
            <xm:f>Caratula!$D$20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M1:M1048576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50"/>
  </sheetPr>
  <dimension ref="A1:I2"/>
  <sheetViews>
    <sheetView showGridLines="0" topLeftCell="B1" zoomScale="83" zoomScaleNormal="100" workbookViewId="0">
      <selection activeCell="I4" sqref="I4"/>
    </sheetView>
  </sheetViews>
  <sheetFormatPr defaultColWidth="0" defaultRowHeight="14.45" zeroHeight="1"/>
  <cols>
    <col min="1" max="1" width="11.85546875" style="24" hidden="1" customWidth="1"/>
    <col min="2" max="2" width="18.85546875" style="24" customWidth="1"/>
    <col min="3" max="3" width="28.140625" style="24" bestFit="1" customWidth="1"/>
    <col min="4" max="4" width="26.7109375" bestFit="1" customWidth="1"/>
    <col min="5" max="5" width="20.5703125" bestFit="1" customWidth="1"/>
    <col min="6" max="6" width="29.42578125" style="24" customWidth="1"/>
    <col min="7" max="7" width="11" style="25" customWidth="1"/>
    <col min="8" max="8" width="19.140625" style="26" customWidth="1"/>
    <col min="9" max="9" width="17.85546875" style="26" customWidth="1"/>
    <col min="10" max="10" width="0" style="24" hidden="1" customWidth="1"/>
    <col min="11" max="16384" width="9.140625" style="24" hidden="1"/>
  </cols>
  <sheetData>
    <row r="1" spans="1:9" ht="15" thickBot="1">
      <c r="A1" s="58" t="s">
        <v>14</v>
      </c>
      <c r="B1" s="47" t="s">
        <v>33</v>
      </c>
      <c r="C1" s="47" t="s">
        <v>21</v>
      </c>
      <c r="D1" s="52" t="s">
        <v>16</v>
      </c>
      <c r="E1" s="52" t="s">
        <v>34</v>
      </c>
      <c r="F1" s="47" t="s">
        <v>35</v>
      </c>
      <c r="G1" s="48" t="s">
        <v>36</v>
      </c>
      <c r="H1" s="49" t="s">
        <v>37</v>
      </c>
      <c r="I1" s="50" t="s">
        <v>38</v>
      </c>
    </row>
    <row r="2" spans="1:9" ht="15" thickTop="1">
      <c r="A2" s="51" t="str">
        <f>IF(ISBLANK(Table1[[#This Row],[Tipo de Servicio]]),"",Caratula!$D$16)</f>
        <v>TAMAULIPAS SUR-VER NTE</v>
      </c>
      <c r="C2" s="24" t="s">
        <v>39</v>
      </c>
      <c r="D2" t="str">
        <f>_xlfn.XLOOKUP(Table5[[#This Row],[SelGZ]]&amp;Table5[[#This Row],[Equipo]],CatPEP!A:A,CatPEP!C:C,"")</f>
        <v>M/MXCM/26/CG1J/C2/815/03</v>
      </c>
      <c r="E2" t="str">
        <f>_xlfn.XLOOKUP(Table5[[#This Row],[PEP]],CatPEP!C:C,CatPEP!D:D,"")</f>
        <v>MTTO MAQUINA HIELO</v>
      </c>
      <c r="F2" s="24" t="s">
        <v>40</v>
      </c>
      <c r="G2" s="25">
        <v>2</v>
      </c>
      <c r="H2" s="26">
        <v>266</v>
      </c>
      <c r="I2" s="26">
        <f>Table5[[#This Row],[Precio Unitario]]*Table5[[#This Row],[Cantidad]]</f>
        <v>532</v>
      </c>
    </row>
  </sheetData>
  <sheetProtection algorithmName="SHA-512" hashValue="x1WLr0Tp9XFIqOlvrz9twV/FnHJP2+hYOHwdMWPC8c7fgyqzm0B7mBpB+BOnfAdZR9on6aW4VWHp3x6RWm1IZA==" saltValue="THsRFYwr13w7Q8H5FPol3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4" orientation="portrait" horizontalDpi="1200" verticalDpi="12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OFFSET('Registro Ordenes'!$I$1,1,,COUNTA(Orden))</xm:f>
          </x14:formula1>
          <xm:sqref>B2:B3001</xm:sqref>
        </x14:dataValidation>
        <x14:dataValidation type="list" allowBlank="1" showInputMessage="1" showErrorMessage="1" xr:uid="{C7972A13-AA35-403E-A66D-6EBECEBB467E}">
          <x14:formula1>
            <xm:f>Catalogo!$A$31:$A$34</xm:f>
          </x14:formula1>
          <xm:sqref>C2:C3001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10"/>
  <sheetViews>
    <sheetView showGridLines="0" zoomScale="66" zoomScaleNormal="66" workbookViewId="0">
      <selection activeCell="G5" sqref="G5"/>
    </sheetView>
  </sheetViews>
  <sheetFormatPr defaultColWidth="9.140625" defaultRowHeight="14.45"/>
  <cols>
    <col min="1" max="1" width="16.85546875" bestFit="1" customWidth="1"/>
    <col min="2" max="2" width="35.85546875" bestFit="1" customWidth="1"/>
    <col min="3" max="3" width="35.85546875" customWidth="1"/>
    <col min="4" max="4" width="46.42578125" customWidth="1"/>
    <col min="5" max="5" width="28.5703125" bestFit="1" customWidth="1"/>
    <col min="6" max="6" width="24.140625" bestFit="1" customWidth="1"/>
    <col min="7" max="7" width="8.5703125" bestFit="1" customWidth="1"/>
  </cols>
  <sheetData>
    <row r="1" spans="1:7">
      <c r="A1" s="31" t="s">
        <v>18</v>
      </c>
      <c r="B1" t="s">
        <v>42</v>
      </c>
    </row>
    <row r="3" spans="1:7">
      <c r="A3" s="31" t="s">
        <v>43</v>
      </c>
    </row>
    <row r="4" spans="1:7">
      <c r="A4" s="31" t="s">
        <v>12</v>
      </c>
      <c r="B4" s="31" t="s">
        <v>5</v>
      </c>
      <c r="C4" s="31" t="s">
        <v>13</v>
      </c>
      <c r="D4" s="31" t="s">
        <v>15</v>
      </c>
      <c r="E4" s="31" t="s">
        <v>16</v>
      </c>
      <c r="F4" s="31" t="s">
        <v>17</v>
      </c>
      <c r="G4" s="32" t="s">
        <v>26</v>
      </c>
    </row>
    <row r="5" spans="1:7">
      <c r="A5">
        <v>0</v>
      </c>
      <c r="B5" t="s">
        <v>6</v>
      </c>
      <c r="C5" t="s">
        <v>8</v>
      </c>
      <c r="D5" t="s">
        <v>32</v>
      </c>
      <c r="E5" t="s">
        <v>44</v>
      </c>
      <c r="F5" t="s">
        <v>45</v>
      </c>
      <c r="G5" s="32">
        <v>130</v>
      </c>
    </row>
    <row r="6" spans="1:7">
      <c r="A6">
        <v>0</v>
      </c>
      <c r="B6" t="s">
        <v>6</v>
      </c>
      <c r="C6" t="s">
        <v>8</v>
      </c>
      <c r="D6" t="s">
        <v>29</v>
      </c>
      <c r="E6" t="s">
        <v>46</v>
      </c>
      <c r="F6" t="s">
        <v>47</v>
      </c>
      <c r="G6" s="32">
        <v>0</v>
      </c>
    </row>
    <row r="7" spans="1:7">
      <c r="A7">
        <v>0</v>
      </c>
      <c r="B7" t="s">
        <v>6</v>
      </c>
      <c r="C7" t="s">
        <v>8</v>
      </c>
      <c r="D7" t="s">
        <v>28</v>
      </c>
      <c r="E7" t="s">
        <v>48</v>
      </c>
      <c r="G7" s="32">
        <v>0</v>
      </c>
    </row>
    <row r="8" spans="1:7">
      <c r="A8">
        <v>0</v>
      </c>
      <c r="B8" t="s">
        <v>6</v>
      </c>
      <c r="C8" t="s">
        <v>8</v>
      </c>
      <c r="D8" t="s">
        <v>30</v>
      </c>
      <c r="E8" t="s">
        <v>49</v>
      </c>
      <c r="F8" t="s">
        <v>50</v>
      </c>
      <c r="G8" s="32">
        <v>0</v>
      </c>
    </row>
    <row r="9" spans="1:7">
      <c r="A9">
        <v>0</v>
      </c>
      <c r="B9" t="s">
        <v>6</v>
      </c>
      <c r="C9" t="s">
        <v>8</v>
      </c>
      <c r="D9" t="s">
        <v>31</v>
      </c>
      <c r="E9" t="s">
        <v>44</v>
      </c>
      <c r="F9" t="s">
        <v>45</v>
      </c>
      <c r="G9" s="32">
        <v>0</v>
      </c>
    </row>
    <row r="10" spans="1:7">
      <c r="A10" t="s">
        <v>51</v>
      </c>
      <c r="G10" s="32">
        <v>130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367"/>
  <sheetViews>
    <sheetView topLeftCell="A10" zoomScale="53" zoomScaleNormal="85" workbookViewId="0">
      <selection activeCell="D52" sqref="D52"/>
    </sheetView>
  </sheetViews>
  <sheetFormatPr defaultColWidth="9.140625" defaultRowHeight="14.45"/>
  <cols>
    <col min="1" max="1" width="23.42578125" bestFit="1" customWidth="1"/>
    <col min="2" max="2" width="20.5703125" style="2" customWidth="1"/>
    <col min="3" max="3" width="30.5703125" style="2" bestFit="1" customWidth="1"/>
    <col min="4" max="4" width="28.5703125" style="2" bestFit="1" customWidth="1"/>
    <col min="5" max="5" width="49.42578125" style="2" bestFit="1" customWidth="1"/>
    <col min="6" max="6" width="8.42578125" customWidth="1"/>
    <col min="7" max="7" width="14.140625" customWidth="1"/>
    <col min="8" max="8" width="10.5703125" customWidth="1"/>
    <col min="11" max="12" width="10.140625" customWidth="1"/>
    <col min="13" max="14" width="10.85546875" bestFit="1" customWidth="1"/>
    <col min="16" max="16" width="27.85546875" bestFit="1" customWidth="1"/>
  </cols>
  <sheetData>
    <row r="1" spans="1:16">
      <c r="A1" t="s">
        <v>15</v>
      </c>
      <c r="B1" s="2" t="s">
        <v>52</v>
      </c>
      <c r="C1" s="2" t="s">
        <v>53</v>
      </c>
      <c r="D1" s="2" t="s">
        <v>54</v>
      </c>
      <c r="E1" s="2" t="s">
        <v>15</v>
      </c>
      <c r="G1" s="3" t="s">
        <v>55</v>
      </c>
      <c r="H1" s="4" t="s">
        <v>56</v>
      </c>
      <c r="J1" s="8" t="s">
        <v>57</v>
      </c>
      <c r="K1" s="8" t="s">
        <v>56</v>
      </c>
      <c r="L1" s="8" t="s">
        <v>13</v>
      </c>
      <c r="M1" s="8" t="s">
        <v>9</v>
      </c>
      <c r="N1" s="8" t="s">
        <v>10</v>
      </c>
      <c r="P1" t="s">
        <v>5</v>
      </c>
    </row>
    <row r="2" spans="1:16">
      <c r="A2" t="s">
        <v>58</v>
      </c>
      <c r="B2" s="2" t="s">
        <v>59</v>
      </c>
      <c r="C2" s="2" t="s">
        <v>58</v>
      </c>
      <c r="D2" s="2" t="s">
        <v>60</v>
      </c>
      <c r="E2" s="2" t="str">
        <f>Table2[[#This Row],[Servicio]]&amp;" - "&amp;Table2[[#This Row],[Tipo de Equipo]]</f>
        <v>MTTO CORRECTIVO RUTA - ENFRIADOR</v>
      </c>
      <c r="G2" s="5">
        <v>45658</v>
      </c>
      <c r="H2" s="6">
        <v>52</v>
      </c>
      <c r="J2" s="9">
        <v>2025</v>
      </c>
      <c r="K2" s="9">
        <v>52</v>
      </c>
      <c r="L2" s="9" t="str">
        <f>"S"&amp;TEXT(K2,"00")&amp;RIGHT(J2,2)</f>
        <v>S5225</v>
      </c>
      <c r="M2" s="10">
        <v>46017</v>
      </c>
      <c r="N2" s="10">
        <v>46023</v>
      </c>
      <c r="P2" s="13" t="s">
        <v>61</v>
      </c>
    </row>
    <row r="3" spans="1:16">
      <c r="A3" t="s">
        <v>62</v>
      </c>
      <c r="B3" s="2" t="s">
        <v>59</v>
      </c>
      <c r="C3" s="2" t="s">
        <v>58</v>
      </c>
      <c r="D3" s="2" t="s">
        <v>63</v>
      </c>
      <c r="E3" s="2" t="str">
        <f>Table2[[#This Row],[Servicio]]&amp;" - "&amp;Table2[[#This Row],[Tipo de Equipo]]</f>
        <v>MTTO CORRECTIVO RUTA - MAQUINA HIELO</v>
      </c>
      <c r="G3" s="5">
        <v>46024</v>
      </c>
      <c r="H3" s="6">
        <f>_xlfn.ISOWEEKNUM(G3)</f>
        <v>1</v>
      </c>
      <c r="J3" s="9">
        <v>2026</v>
      </c>
      <c r="K3" s="9">
        <v>1</v>
      </c>
      <c r="L3" s="9" t="str">
        <f t="shared" ref="L3:L54" si="0">"S"&amp;TEXT(K3,"00")&amp;RIGHT(J3,2)</f>
        <v>S0126</v>
      </c>
      <c r="M3" s="10">
        <v>46024</v>
      </c>
      <c r="N3" s="10">
        <v>46027</v>
      </c>
      <c r="P3" s="13" t="s">
        <v>64</v>
      </c>
    </row>
    <row r="4" spans="1:16">
      <c r="A4" t="s">
        <v>65</v>
      </c>
      <c r="B4" s="2" t="s">
        <v>59</v>
      </c>
      <c r="C4" s="2" t="s">
        <v>58</v>
      </c>
      <c r="D4" s="2" t="s">
        <v>66</v>
      </c>
      <c r="E4" s="2" t="str">
        <f>Table2[[#This Row],[Servicio]]&amp;" - "&amp;Table2[[#This Row],[Tipo de Equipo]]</f>
        <v>MTTO CORRECTIVO RUTA - BARRIL</v>
      </c>
      <c r="G4" s="5">
        <v>46025</v>
      </c>
      <c r="H4" s="6">
        <f t="shared" ref="H4:H66" si="1">_xlfn.ISOWEEKNUM(G4)</f>
        <v>1</v>
      </c>
      <c r="J4" s="9">
        <v>2026</v>
      </c>
      <c r="K4" s="9">
        <v>2</v>
      </c>
      <c r="L4" s="9" t="str">
        <f t="shared" si="0"/>
        <v>S0226</v>
      </c>
      <c r="M4" s="10">
        <v>46028</v>
      </c>
      <c r="N4" s="10">
        <v>46034</v>
      </c>
      <c r="P4" s="13" t="s">
        <v>67</v>
      </c>
    </row>
    <row r="5" spans="1:16">
      <c r="A5" t="s">
        <v>68</v>
      </c>
      <c r="B5" s="2" t="s">
        <v>59</v>
      </c>
      <c r="C5" s="2" t="s">
        <v>58</v>
      </c>
      <c r="D5" s="2" t="s">
        <v>69</v>
      </c>
      <c r="E5" s="2" t="str">
        <f>Table2[[#This Row],[Servicio]]&amp;" - "&amp;Table2[[#This Row],[Tipo de Equipo]]</f>
        <v>MTTO CORRECTIVO RUTA - CUARTO FRIO</v>
      </c>
      <c r="G5" s="5">
        <v>46026</v>
      </c>
      <c r="H5" s="6">
        <f t="shared" si="1"/>
        <v>1</v>
      </c>
      <c r="J5" s="9">
        <v>2026</v>
      </c>
      <c r="K5" s="9">
        <v>3</v>
      </c>
      <c r="L5" s="9" t="str">
        <f t="shared" si="0"/>
        <v>S0326</v>
      </c>
      <c r="M5" s="10">
        <v>46035</v>
      </c>
      <c r="N5" s="10">
        <v>46041</v>
      </c>
      <c r="P5" s="13" t="s">
        <v>70</v>
      </c>
    </row>
    <row r="6" spans="1:16">
      <c r="A6" t="s">
        <v>71</v>
      </c>
      <c r="B6" s="2" t="s">
        <v>59</v>
      </c>
      <c r="C6" s="2" t="s">
        <v>62</v>
      </c>
      <c r="D6" s="2" t="s">
        <v>60</v>
      </c>
      <c r="E6" s="2" t="str">
        <f>Table2[[#This Row],[Servicio]]&amp;" - "&amp;Table2[[#This Row],[Tipo de Equipo]]</f>
        <v>MTTO CORRECTIVO PISO - ENFRIADOR</v>
      </c>
      <c r="G6" s="5">
        <v>46027</v>
      </c>
      <c r="H6" s="6">
        <f t="shared" si="1"/>
        <v>2</v>
      </c>
      <c r="J6" s="9">
        <v>2026</v>
      </c>
      <c r="K6" s="9">
        <v>4</v>
      </c>
      <c r="L6" s="9" t="str">
        <f t="shared" si="0"/>
        <v>S0426</v>
      </c>
      <c r="M6" s="10">
        <v>46042</v>
      </c>
      <c r="N6" s="10">
        <v>46048</v>
      </c>
      <c r="P6" s="13" t="s">
        <v>72</v>
      </c>
    </row>
    <row r="7" spans="1:16">
      <c r="B7" s="2" t="s">
        <v>59</v>
      </c>
      <c r="C7" s="2" t="s">
        <v>62</v>
      </c>
      <c r="D7" s="2" t="s">
        <v>63</v>
      </c>
      <c r="E7" s="2" t="str">
        <f>Table2[[#This Row],[Servicio]]&amp;" - "&amp;Table2[[#This Row],[Tipo de Equipo]]</f>
        <v>MTTO CORRECTIVO PISO - MAQUINA HIELO</v>
      </c>
      <c r="G7" s="5">
        <v>46028</v>
      </c>
      <c r="H7" s="6">
        <f t="shared" si="1"/>
        <v>2</v>
      </c>
      <c r="J7" s="9">
        <v>2026</v>
      </c>
      <c r="K7" s="9">
        <v>5</v>
      </c>
      <c r="L7" s="9" t="str">
        <f t="shared" si="0"/>
        <v>S0526</v>
      </c>
      <c r="M7" s="10">
        <v>46049</v>
      </c>
      <c r="N7" s="10">
        <v>46055</v>
      </c>
      <c r="P7" s="13" t="s">
        <v>73</v>
      </c>
    </row>
    <row r="8" spans="1:16">
      <c r="B8" s="2" t="s">
        <v>59</v>
      </c>
      <c r="C8" s="2" t="s">
        <v>62</v>
      </c>
      <c r="D8" s="2" t="s">
        <v>66</v>
      </c>
      <c r="E8" s="2" t="str">
        <f>Table2[[#This Row],[Servicio]]&amp;" - "&amp;Table2[[#This Row],[Tipo de Equipo]]</f>
        <v>MTTO CORRECTIVO PISO - BARRIL</v>
      </c>
      <c r="G8" s="5">
        <v>46029</v>
      </c>
      <c r="H8" s="6">
        <f t="shared" si="1"/>
        <v>2</v>
      </c>
      <c r="J8" s="9">
        <v>2026</v>
      </c>
      <c r="K8" s="9">
        <v>6</v>
      </c>
      <c r="L8" s="9" t="str">
        <f t="shared" si="0"/>
        <v>S0626</v>
      </c>
      <c r="M8" s="10">
        <v>46056</v>
      </c>
      <c r="N8" s="10">
        <v>46062</v>
      </c>
      <c r="P8" s="13" t="s">
        <v>74</v>
      </c>
    </row>
    <row r="9" spans="1:16">
      <c r="B9" s="2" t="s">
        <v>59</v>
      </c>
      <c r="C9" s="2" t="s">
        <v>65</v>
      </c>
      <c r="D9" s="2" t="s">
        <v>63</v>
      </c>
      <c r="E9" s="2" t="str">
        <f>Table2[[#This Row],[Servicio]]&amp;" - "&amp;Table2[[#This Row],[Tipo de Equipo]]</f>
        <v>MTTO PREVENTIVO RUTA - MAQUINA HIELO</v>
      </c>
      <c r="G9" s="5">
        <v>46030</v>
      </c>
      <c r="H9" s="6">
        <f t="shared" si="1"/>
        <v>2</v>
      </c>
      <c r="J9" s="9">
        <v>2026</v>
      </c>
      <c r="K9" s="9">
        <v>7</v>
      </c>
      <c r="L9" s="9" t="str">
        <f>"S"&amp;TEXT(K9,"00")&amp;RIGHT(J9,2)</f>
        <v>S0726</v>
      </c>
      <c r="M9" s="10">
        <v>46063</v>
      </c>
      <c r="N9" s="10">
        <v>46069</v>
      </c>
      <c r="P9" s="13" t="s">
        <v>75</v>
      </c>
    </row>
    <row r="10" spans="1:16">
      <c r="B10" s="2" t="s">
        <v>59</v>
      </c>
      <c r="C10" s="2" t="s">
        <v>65</v>
      </c>
      <c r="D10" s="2" t="s">
        <v>66</v>
      </c>
      <c r="E10" s="2" t="str">
        <f>Table2[[#This Row],[Servicio]]&amp;" - "&amp;Table2[[#This Row],[Tipo de Equipo]]</f>
        <v>MTTO PREVENTIVO RUTA - BARRIL</v>
      </c>
      <c r="G10" s="5">
        <v>46031</v>
      </c>
      <c r="H10" s="6">
        <f t="shared" si="1"/>
        <v>2</v>
      </c>
      <c r="J10" s="9">
        <v>2026</v>
      </c>
      <c r="K10" s="9">
        <v>8</v>
      </c>
      <c r="L10" s="9" t="str">
        <f t="shared" si="0"/>
        <v>S0826</v>
      </c>
      <c r="M10" s="10">
        <v>46070</v>
      </c>
      <c r="N10" s="10">
        <v>46076</v>
      </c>
      <c r="P10" s="13" t="s">
        <v>76</v>
      </c>
    </row>
    <row r="11" spans="1:16">
      <c r="B11" s="2" t="s">
        <v>59</v>
      </c>
      <c r="C11" s="2" t="s">
        <v>65</v>
      </c>
      <c r="D11" s="2" t="s">
        <v>69</v>
      </c>
      <c r="E11" s="2" t="str">
        <f>Table2[[#This Row],[Servicio]]&amp;" - "&amp;Table2[[#This Row],[Tipo de Equipo]]</f>
        <v>MTTO PREVENTIVO RUTA - CUARTO FRIO</v>
      </c>
      <c r="G11" s="5">
        <v>46032</v>
      </c>
      <c r="H11" s="6">
        <f t="shared" si="1"/>
        <v>2</v>
      </c>
      <c r="J11" s="9">
        <v>2026</v>
      </c>
      <c r="K11" s="9">
        <v>9</v>
      </c>
      <c r="L11" s="9" t="str">
        <f t="shared" si="0"/>
        <v>S0926</v>
      </c>
      <c r="M11" s="10">
        <v>46077</v>
      </c>
      <c r="N11" s="10">
        <v>46083</v>
      </c>
      <c r="P11" s="13" t="s">
        <v>77</v>
      </c>
    </row>
    <row r="12" spans="1:16">
      <c r="B12" s="2" t="s">
        <v>78</v>
      </c>
      <c r="C12" s="2" t="s">
        <v>68</v>
      </c>
      <c r="D12" s="2" t="s">
        <v>60</v>
      </c>
      <c r="E12" s="2" t="str">
        <f>Table2[[#This Row],[Servicio]]&amp;" - "&amp;Table2[[#This Row],[Tipo de Equipo]]</f>
        <v>INSTALACION - ENFRIADOR</v>
      </c>
      <c r="G12" s="5">
        <v>46033</v>
      </c>
      <c r="H12" s="6">
        <f t="shared" si="1"/>
        <v>2</v>
      </c>
      <c r="J12" s="9">
        <v>2026</v>
      </c>
      <c r="K12" s="9">
        <v>10</v>
      </c>
      <c r="L12" s="9" t="str">
        <f t="shared" si="0"/>
        <v>S1026</v>
      </c>
      <c r="M12" s="10">
        <v>46084</v>
      </c>
      <c r="N12" s="10">
        <v>46090</v>
      </c>
      <c r="P12" s="13" t="s">
        <v>79</v>
      </c>
    </row>
    <row r="13" spans="1:16">
      <c r="B13" s="2" t="s">
        <v>78</v>
      </c>
      <c r="C13" s="2" t="s">
        <v>68</v>
      </c>
      <c r="D13" s="2" t="s">
        <v>63</v>
      </c>
      <c r="E13" s="2" t="str">
        <f>Table2[[#This Row],[Servicio]]&amp;" - "&amp;Table2[[#This Row],[Tipo de Equipo]]</f>
        <v>INSTALACION - MAQUINA HIELO</v>
      </c>
      <c r="G13" s="5">
        <v>46034</v>
      </c>
      <c r="H13" s="6">
        <f t="shared" si="1"/>
        <v>3</v>
      </c>
      <c r="J13" s="9">
        <v>2026</v>
      </c>
      <c r="K13" s="9">
        <v>11</v>
      </c>
      <c r="L13" s="9" t="str">
        <f t="shared" si="0"/>
        <v>S1126</v>
      </c>
      <c r="M13" s="10">
        <v>46091</v>
      </c>
      <c r="N13" s="10">
        <v>46097</v>
      </c>
      <c r="P13" s="13" t="s">
        <v>80</v>
      </c>
    </row>
    <row r="14" spans="1:16">
      <c r="B14" s="2" t="s">
        <v>78</v>
      </c>
      <c r="C14" s="2" t="s">
        <v>68</v>
      </c>
      <c r="D14" s="2" t="s">
        <v>66</v>
      </c>
      <c r="E14" s="2" t="str">
        <f>Table2[[#This Row],[Servicio]]&amp;" - "&amp;Table2[[#This Row],[Tipo de Equipo]]</f>
        <v>INSTALACION - BARRIL</v>
      </c>
      <c r="G14" s="5">
        <v>46035</v>
      </c>
      <c r="H14" s="6">
        <f t="shared" si="1"/>
        <v>3</v>
      </c>
      <c r="J14" s="9">
        <v>2026</v>
      </c>
      <c r="K14" s="9">
        <v>12</v>
      </c>
      <c r="L14" s="9" t="str">
        <f t="shared" si="0"/>
        <v>S1226</v>
      </c>
      <c r="M14" s="10">
        <v>46098</v>
      </c>
      <c r="N14" s="10">
        <v>46104</v>
      </c>
      <c r="P14" s="13" t="s">
        <v>81</v>
      </c>
    </row>
    <row r="15" spans="1:16">
      <c r="B15" s="2" t="s">
        <v>78</v>
      </c>
      <c r="C15" s="33" t="s">
        <v>68</v>
      </c>
      <c r="D15" s="33" t="s">
        <v>69</v>
      </c>
      <c r="E15" s="33" t="str">
        <f>Table2[[#This Row],[Servicio]]&amp;" - "&amp;Table2[[#This Row],[Tipo de Equipo]]</f>
        <v>INSTALACION - CUARTO FRIO</v>
      </c>
      <c r="G15" s="5">
        <v>46036</v>
      </c>
      <c r="H15" s="6">
        <f t="shared" si="1"/>
        <v>3</v>
      </c>
      <c r="J15" s="9">
        <v>2026</v>
      </c>
      <c r="K15" s="9">
        <v>13</v>
      </c>
      <c r="L15" s="9" t="str">
        <f t="shared" si="0"/>
        <v>S1326</v>
      </c>
      <c r="M15" s="10">
        <v>46105</v>
      </c>
      <c r="N15" s="10">
        <v>46111</v>
      </c>
      <c r="P15" s="13" t="s">
        <v>82</v>
      </c>
    </row>
    <row r="16" spans="1:16">
      <c r="B16" s="2" t="s">
        <v>78</v>
      </c>
      <c r="C16" s="2" t="s">
        <v>71</v>
      </c>
      <c r="D16" s="2" t="s">
        <v>60</v>
      </c>
      <c r="E16" s="2" t="str">
        <f>Table2[[#This Row],[Servicio]]&amp;" - "&amp;Table2[[#This Row],[Tipo de Equipo]]</f>
        <v>RETIRO - ENFRIADOR</v>
      </c>
      <c r="G16" s="5">
        <v>46037</v>
      </c>
      <c r="H16" s="6">
        <f t="shared" si="1"/>
        <v>3</v>
      </c>
      <c r="J16" s="9">
        <v>2026</v>
      </c>
      <c r="K16" s="9">
        <v>14</v>
      </c>
      <c r="L16" s="9" t="str">
        <f t="shared" si="0"/>
        <v>S1426</v>
      </c>
      <c r="M16" s="10">
        <v>46112</v>
      </c>
      <c r="N16" s="10">
        <v>46118</v>
      </c>
      <c r="P16" s="13" t="s">
        <v>83</v>
      </c>
    </row>
    <row r="17" spans="1:16">
      <c r="B17" s="2" t="s">
        <v>78</v>
      </c>
      <c r="C17" s="2" t="s">
        <v>71</v>
      </c>
      <c r="D17" s="2" t="s">
        <v>63</v>
      </c>
      <c r="E17" s="2" t="str">
        <f>Table2[[#This Row],[Servicio]]&amp;" - "&amp;Table2[[#This Row],[Tipo de Equipo]]</f>
        <v>RETIRO - MAQUINA HIELO</v>
      </c>
      <c r="G17" s="5">
        <v>46038</v>
      </c>
      <c r="H17" s="6">
        <f t="shared" si="1"/>
        <v>3</v>
      </c>
      <c r="J17" s="9">
        <v>2026</v>
      </c>
      <c r="K17" s="9">
        <v>15</v>
      </c>
      <c r="L17" s="9" t="str">
        <f t="shared" si="0"/>
        <v>S1526</v>
      </c>
      <c r="M17" s="10">
        <v>46119</v>
      </c>
      <c r="N17" s="10">
        <v>46125</v>
      </c>
      <c r="P17" s="13" t="s">
        <v>84</v>
      </c>
    </row>
    <row r="18" spans="1:16">
      <c r="B18" s="2" t="s">
        <v>78</v>
      </c>
      <c r="C18" s="2" t="s">
        <v>71</v>
      </c>
      <c r="D18" s="2" t="s">
        <v>66</v>
      </c>
      <c r="E18" s="2" t="str">
        <f>Table2[[#This Row],[Servicio]]&amp;" - "&amp;Table2[[#This Row],[Tipo de Equipo]]</f>
        <v>RETIRO - BARRIL</v>
      </c>
      <c r="G18" s="5">
        <v>46039</v>
      </c>
      <c r="H18" s="6">
        <f t="shared" si="1"/>
        <v>3</v>
      </c>
      <c r="J18" s="9">
        <v>2026</v>
      </c>
      <c r="K18" s="9">
        <v>16</v>
      </c>
      <c r="L18" s="9" t="str">
        <f t="shared" si="0"/>
        <v>S1626</v>
      </c>
      <c r="M18" s="10">
        <v>46126</v>
      </c>
      <c r="N18" s="10">
        <v>46132</v>
      </c>
      <c r="P18" s="13" t="s">
        <v>85</v>
      </c>
    </row>
    <row r="19" spans="1:16">
      <c r="B19" s="2" t="s">
        <v>78</v>
      </c>
      <c r="C19" s="2" t="s">
        <v>71</v>
      </c>
      <c r="D19" s="2" t="s">
        <v>69</v>
      </c>
      <c r="E19" s="2" t="str">
        <f>Table2[[#This Row],[Servicio]]&amp;" - "&amp;Table2[[#This Row],[Tipo de Equipo]]</f>
        <v>RETIRO - CUARTO FRIO</v>
      </c>
      <c r="G19" s="5">
        <v>46040</v>
      </c>
      <c r="H19" s="6">
        <f t="shared" si="1"/>
        <v>3</v>
      </c>
      <c r="J19" s="9">
        <v>2026</v>
      </c>
      <c r="K19" s="9">
        <v>17</v>
      </c>
      <c r="L19" s="9" t="str">
        <f t="shared" si="0"/>
        <v>S1726</v>
      </c>
      <c r="M19" s="10">
        <v>46133</v>
      </c>
      <c r="N19" s="10">
        <v>46139</v>
      </c>
      <c r="P19" s="13" t="s">
        <v>86</v>
      </c>
    </row>
    <row r="20" spans="1:16">
      <c r="B20" s="2" t="s">
        <v>78</v>
      </c>
      <c r="C20" s="2" t="s">
        <v>87</v>
      </c>
      <c r="D20" s="2" t="s">
        <v>66</v>
      </c>
      <c r="E20" s="2" t="str">
        <f>Table2[[#This Row],[Servicio]]&amp;" - "&amp;Table2[[#This Row],[Tipo de Equipo]]</f>
        <v>RECARGA CO2 - BARRIL</v>
      </c>
      <c r="G20" s="5">
        <v>46041</v>
      </c>
      <c r="H20" s="6">
        <f t="shared" si="1"/>
        <v>4</v>
      </c>
      <c r="J20" s="9">
        <v>2026</v>
      </c>
      <c r="K20" s="9">
        <v>18</v>
      </c>
      <c r="L20" s="9" t="str">
        <f t="shared" si="0"/>
        <v>S1826</v>
      </c>
      <c r="M20" s="10">
        <v>46140</v>
      </c>
      <c r="N20" s="10">
        <v>46146</v>
      </c>
      <c r="P20" s="13" t="s">
        <v>88</v>
      </c>
    </row>
    <row r="21" spans="1:16">
      <c r="B21" s="2" t="s">
        <v>59</v>
      </c>
      <c r="C21" s="2" t="s">
        <v>89</v>
      </c>
      <c r="D21" s="2" t="s">
        <v>60</v>
      </c>
      <c r="E21" s="2" t="str">
        <f>Table2[[#This Row],[Servicio]]&amp;" - "&amp;Table2[[#This Row],[Tipo de Equipo]]</f>
        <v>PRIMERA POSICION - ENFRIADOR</v>
      </c>
      <c r="G21" s="5">
        <v>46042</v>
      </c>
      <c r="H21" s="6">
        <f t="shared" si="1"/>
        <v>4</v>
      </c>
      <c r="J21" s="9">
        <v>2026</v>
      </c>
      <c r="K21" s="9">
        <v>19</v>
      </c>
      <c r="L21" s="9" t="str">
        <f t="shared" si="0"/>
        <v>S1926</v>
      </c>
      <c r="M21" s="10">
        <v>46147</v>
      </c>
      <c r="N21" s="10">
        <v>46153</v>
      </c>
      <c r="P21" s="13" t="s">
        <v>90</v>
      </c>
    </row>
    <row r="22" spans="1:16">
      <c r="B22" s="2" t="s">
        <v>78</v>
      </c>
      <c r="C22" s="2" t="s">
        <v>91</v>
      </c>
      <c r="D22" s="2" t="s">
        <v>60</v>
      </c>
      <c r="E22" s="2" t="str">
        <f>Table2[[#This Row],[Servicio]]&amp;" - "&amp;Table2[[#This Row],[Tipo de Equipo]]</f>
        <v>SERVICIO EXPRESS PISO - ENFRIADOR</v>
      </c>
      <c r="G22" s="5">
        <v>46043</v>
      </c>
      <c r="H22" s="6">
        <f t="shared" si="1"/>
        <v>4</v>
      </c>
      <c r="J22" s="9">
        <v>2026</v>
      </c>
      <c r="K22" s="9">
        <v>20</v>
      </c>
      <c r="L22" s="9" t="str">
        <f t="shared" si="0"/>
        <v>S2026</v>
      </c>
      <c r="M22" s="10">
        <v>46154</v>
      </c>
      <c r="N22" s="10">
        <v>46160</v>
      </c>
      <c r="P22" s="13" t="s">
        <v>92</v>
      </c>
    </row>
    <row r="23" spans="1:16">
      <c r="B23" s="2" t="s">
        <v>59</v>
      </c>
      <c r="C23" s="2" t="s">
        <v>93</v>
      </c>
      <c r="D23" s="2" t="s">
        <v>60</v>
      </c>
      <c r="E23" s="2" t="str">
        <f>Table2[[#This Row],[Servicio]]&amp;" - "&amp;Table2[[#This Row],[Tipo de Equipo]]</f>
        <v>FLETE MOV GZ A GZ - ENFRIADOR</v>
      </c>
      <c r="G23" s="5">
        <v>46044</v>
      </c>
      <c r="H23" s="6">
        <f t="shared" si="1"/>
        <v>4</v>
      </c>
      <c r="J23" s="9">
        <v>2026</v>
      </c>
      <c r="K23" s="9">
        <v>21</v>
      </c>
      <c r="L23" s="9" t="str">
        <f t="shared" si="0"/>
        <v>S2126</v>
      </c>
      <c r="M23" s="10">
        <v>46161</v>
      </c>
      <c r="N23" s="10">
        <v>46167</v>
      </c>
      <c r="P23" s="13" t="s">
        <v>94</v>
      </c>
    </row>
    <row r="24" spans="1:16">
      <c r="C24" s="2" t="s">
        <v>95</v>
      </c>
      <c r="D24" s="2" t="s">
        <v>63</v>
      </c>
      <c r="E24" s="2" t="str">
        <f>Table2[[#This Row],[Servicio]]&amp;" - "&amp;Table2[[#This Row],[Tipo de Equipo]]</f>
        <v>FLETE MOV GZ  A GZ - MAQUINA HIELO</v>
      </c>
      <c r="G24" s="5">
        <v>46045</v>
      </c>
      <c r="H24" s="6">
        <f t="shared" si="1"/>
        <v>4</v>
      </c>
      <c r="J24" s="9">
        <v>2026</v>
      </c>
      <c r="K24" s="9">
        <v>22</v>
      </c>
      <c r="L24" s="9" t="str">
        <f t="shared" si="0"/>
        <v>S2226</v>
      </c>
      <c r="M24" s="10">
        <v>46168</v>
      </c>
      <c r="N24" s="10">
        <v>46174</v>
      </c>
      <c r="P24" s="13" t="s">
        <v>6</v>
      </c>
    </row>
    <row r="25" spans="1:16">
      <c r="C25" s="2" t="s">
        <v>93</v>
      </c>
      <c r="D25" s="2" t="s">
        <v>66</v>
      </c>
      <c r="E25" s="2" t="str">
        <f>Table2[[#This Row],[Servicio]]&amp;" - "&amp;Table2[[#This Row],[Tipo de Equipo]]</f>
        <v>FLETE MOV GZ A GZ - BARRIL</v>
      </c>
      <c r="G25" s="5">
        <v>46046</v>
      </c>
      <c r="H25" s="6">
        <f t="shared" si="1"/>
        <v>4</v>
      </c>
      <c r="J25" s="9">
        <v>2026</v>
      </c>
      <c r="K25" s="9">
        <v>23</v>
      </c>
      <c r="L25" s="9" t="str">
        <f t="shared" si="0"/>
        <v>S2326</v>
      </c>
      <c r="M25" s="10">
        <v>46175</v>
      </c>
      <c r="N25" s="10">
        <v>46181</v>
      </c>
      <c r="P25" s="13" t="s">
        <v>96</v>
      </c>
    </row>
    <row r="26" spans="1:16">
      <c r="C26" s="2" t="s">
        <v>93</v>
      </c>
      <c r="D26" s="2" t="s">
        <v>97</v>
      </c>
      <c r="E26" s="2" t="str">
        <f>Table2[[#This Row],[Servicio]]&amp;" - "&amp;Table2[[#This Row],[Tipo de Equipo]]</f>
        <v>FLETE MOV GZ A GZ - MOBILIARIO</v>
      </c>
      <c r="G26" s="5">
        <v>46047</v>
      </c>
      <c r="H26" s="6">
        <f t="shared" si="1"/>
        <v>4</v>
      </c>
      <c r="J26" s="9">
        <v>2026</v>
      </c>
      <c r="K26" s="9">
        <v>24</v>
      </c>
      <c r="L26" s="9" t="str">
        <f t="shared" si="0"/>
        <v>S2426</v>
      </c>
      <c r="M26" s="10">
        <v>46182</v>
      </c>
      <c r="N26" s="10">
        <v>46188</v>
      </c>
      <c r="P26" s="13" t="s">
        <v>98</v>
      </c>
    </row>
    <row r="27" spans="1:16">
      <c r="C27" s="2" t="s">
        <v>93</v>
      </c>
      <c r="D27" s="2" t="s">
        <v>99</v>
      </c>
      <c r="E27" s="2" t="str">
        <f>Table2[[#This Row],[Servicio]]&amp;" - "&amp;Table2[[#This Row],[Tipo de Equipo]]</f>
        <v>FLETE MOV GZ A GZ - VISIBILIDAD</v>
      </c>
      <c r="G27" s="5">
        <v>46048</v>
      </c>
      <c r="H27" s="6">
        <f t="shared" si="1"/>
        <v>5</v>
      </c>
      <c r="J27" s="9">
        <v>2026</v>
      </c>
      <c r="K27" s="9">
        <v>25</v>
      </c>
      <c r="L27" s="9" t="str">
        <f t="shared" si="0"/>
        <v>S2526</v>
      </c>
      <c r="M27" s="10">
        <v>46189</v>
      </c>
      <c r="N27" s="10">
        <v>46195</v>
      </c>
      <c r="P27" s="13" t="s">
        <v>100</v>
      </c>
    </row>
    <row r="28" spans="1:16">
      <c r="C28" s="2" t="s">
        <v>101</v>
      </c>
      <c r="D28" s="2" t="s">
        <v>60</v>
      </c>
      <c r="E28" s="2" t="str">
        <f>Table2[[#This Row],[Servicio]]&amp;" - "&amp;Table2[[#This Row],[Tipo de Equipo]]</f>
        <v>FLETE MOV CEDIS A CEDIS - ENFRIADOR</v>
      </c>
      <c r="G28" s="5">
        <v>46049</v>
      </c>
      <c r="H28" s="6">
        <f t="shared" si="1"/>
        <v>5</v>
      </c>
      <c r="J28" s="9">
        <v>2026</v>
      </c>
      <c r="K28" s="9">
        <v>26</v>
      </c>
      <c r="L28" s="9" t="str">
        <f t="shared" si="0"/>
        <v>S2626</v>
      </c>
      <c r="M28" s="10">
        <v>46196</v>
      </c>
      <c r="N28" s="10">
        <v>46202</v>
      </c>
    </row>
    <row r="29" spans="1:16">
      <c r="C29" s="2" t="s">
        <v>101</v>
      </c>
      <c r="D29" s="2" t="s">
        <v>63</v>
      </c>
      <c r="E29" s="2" t="str">
        <f>Table2[[#This Row],[Servicio]]&amp;" - "&amp;Table2[[#This Row],[Tipo de Equipo]]</f>
        <v>FLETE MOV CEDIS A CEDIS - MAQUINA HIELO</v>
      </c>
      <c r="G29" s="5">
        <v>46050</v>
      </c>
      <c r="H29" s="6">
        <f t="shared" si="1"/>
        <v>5</v>
      </c>
      <c r="J29" s="9">
        <v>2026</v>
      </c>
      <c r="K29" s="9">
        <v>27</v>
      </c>
      <c r="L29" s="9" t="str">
        <f t="shared" si="0"/>
        <v>S2726</v>
      </c>
      <c r="M29" s="10">
        <v>46203</v>
      </c>
      <c r="N29" s="10">
        <v>46209</v>
      </c>
    </row>
    <row r="30" spans="1:16">
      <c r="A30" t="s">
        <v>53</v>
      </c>
      <c r="C30" s="2" t="s">
        <v>101</v>
      </c>
      <c r="D30" s="2" t="s">
        <v>66</v>
      </c>
      <c r="E30" s="2" t="str">
        <f>Table2[[#This Row],[Servicio]]&amp;" - "&amp;Table2[[#This Row],[Tipo de Equipo]]</f>
        <v>FLETE MOV CEDIS A CEDIS - BARRIL</v>
      </c>
      <c r="G30" s="5">
        <v>46051</v>
      </c>
      <c r="H30" s="6">
        <f t="shared" si="1"/>
        <v>5</v>
      </c>
      <c r="J30" s="9">
        <v>2026</v>
      </c>
      <c r="K30" s="9">
        <v>28</v>
      </c>
      <c r="L30" s="9" t="str">
        <f t="shared" si="0"/>
        <v>S2826</v>
      </c>
      <c r="M30" s="10">
        <v>46210</v>
      </c>
      <c r="N30" s="10">
        <v>46216</v>
      </c>
    </row>
    <row r="31" spans="1:16">
      <c r="A31" t="s">
        <v>41</v>
      </c>
      <c r="C31" s="2" t="s">
        <v>101</v>
      </c>
      <c r="D31" s="2" t="s">
        <v>97</v>
      </c>
      <c r="E31" s="2" t="str">
        <f>Table2[[#This Row],[Servicio]]&amp;" - "&amp;Table2[[#This Row],[Tipo de Equipo]]</f>
        <v>FLETE MOV CEDIS A CEDIS - MOBILIARIO</v>
      </c>
      <c r="G31" s="5">
        <v>46052</v>
      </c>
      <c r="H31" s="6">
        <f t="shared" si="1"/>
        <v>5</v>
      </c>
      <c r="J31" s="9">
        <v>2026</v>
      </c>
      <c r="K31" s="9">
        <v>29</v>
      </c>
      <c r="L31" s="9" t="str">
        <f t="shared" si="0"/>
        <v>S2926</v>
      </c>
      <c r="M31" s="10">
        <v>46217</v>
      </c>
      <c r="N31" s="10">
        <v>46223</v>
      </c>
    </row>
    <row r="32" spans="1:16">
      <c r="A32" t="s">
        <v>39</v>
      </c>
      <c r="C32" s="2" t="s">
        <v>101</v>
      </c>
      <c r="D32" s="2" t="s">
        <v>99</v>
      </c>
      <c r="E32" s="2" t="str">
        <f>Table2[[#This Row],[Servicio]]&amp;" - "&amp;Table2[[#This Row],[Tipo de Equipo]]</f>
        <v>FLETE MOV CEDIS A CEDIS - VISIBILIDAD</v>
      </c>
      <c r="G32" s="5">
        <v>46053</v>
      </c>
      <c r="H32" s="6">
        <f t="shared" si="1"/>
        <v>5</v>
      </c>
      <c r="J32" s="9">
        <v>2026</v>
      </c>
      <c r="K32" s="9">
        <v>30</v>
      </c>
      <c r="L32" s="9" t="str">
        <f t="shared" si="0"/>
        <v>S3026</v>
      </c>
      <c r="M32" s="10">
        <v>46224</v>
      </c>
      <c r="N32" s="10">
        <v>46230</v>
      </c>
    </row>
    <row r="33" spans="1:16">
      <c r="A33" t="s">
        <v>102</v>
      </c>
      <c r="C33" s="2" t="s">
        <v>103</v>
      </c>
      <c r="D33" s="2" t="s">
        <v>104</v>
      </c>
      <c r="E33" s="2" t="str">
        <f>Table2[[#This Row],[Servicio]]&amp;" - "&amp;Table2[[#This Row],[Tipo de Equipo]]</f>
        <v>DOOR TO DOOR - ALMACENAMIENTO</v>
      </c>
      <c r="G33" s="5">
        <v>46054</v>
      </c>
      <c r="H33" s="6">
        <f t="shared" si="1"/>
        <v>5</v>
      </c>
      <c r="J33" s="9">
        <v>2026</v>
      </c>
      <c r="K33" s="9">
        <v>31</v>
      </c>
      <c r="L33" s="9" t="str">
        <f t="shared" si="0"/>
        <v>S3126</v>
      </c>
      <c r="M33" s="10">
        <v>46231</v>
      </c>
      <c r="N33" s="10">
        <v>46237</v>
      </c>
    </row>
    <row r="34" spans="1:16">
      <c r="A34" t="s">
        <v>105</v>
      </c>
      <c r="C34" s="2" t="s">
        <v>106</v>
      </c>
      <c r="D34" s="2" t="s">
        <v>60</v>
      </c>
      <c r="E34" s="2" t="str">
        <f>Table2[[#This Row],[Servicio]]&amp;" - "&amp;Table2[[#This Row],[Tipo de Equipo]]</f>
        <v>REFACCIONES - ENFRIADOR</v>
      </c>
      <c r="G34" s="5">
        <v>46055</v>
      </c>
      <c r="H34" s="6">
        <f t="shared" si="1"/>
        <v>6</v>
      </c>
      <c r="J34" s="9">
        <v>2026</v>
      </c>
      <c r="K34" s="9">
        <v>32</v>
      </c>
      <c r="L34" s="9" t="str">
        <f t="shared" si="0"/>
        <v>S3226</v>
      </c>
      <c r="M34" s="10">
        <v>46238</v>
      </c>
      <c r="N34" s="10">
        <v>46244</v>
      </c>
    </row>
    <row r="35" spans="1:16">
      <c r="C35" s="2" t="s">
        <v>106</v>
      </c>
      <c r="D35" s="2" t="s">
        <v>63</v>
      </c>
      <c r="E35" s="2" t="str">
        <f>Table2[[#This Row],[Servicio]]&amp;" - "&amp;Table2[[#This Row],[Tipo de Equipo]]</f>
        <v>REFACCIONES - MAQUINA HIELO</v>
      </c>
      <c r="G35" s="5">
        <v>46056</v>
      </c>
      <c r="H35" s="6">
        <f t="shared" si="1"/>
        <v>6</v>
      </c>
      <c r="J35" s="9">
        <v>2026</v>
      </c>
      <c r="K35" s="9">
        <v>33</v>
      </c>
      <c r="L35" s="9" t="str">
        <f t="shared" si="0"/>
        <v>S3326</v>
      </c>
      <c r="M35" s="10">
        <v>46245</v>
      </c>
      <c r="N35" s="10">
        <v>46251</v>
      </c>
    </row>
    <row r="36" spans="1:16">
      <c r="C36" s="2" t="s">
        <v>106</v>
      </c>
      <c r="D36" s="2" t="s">
        <v>66</v>
      </c>
      <c r="E36" s="2" t="str">
        <f>Table2[[#This Row],[Servicio]]&amp;" - "&amp;Table2[[#This Row],[Tipo de Equipo]]</f>
        <v>REFACCIONES - BARRIL</v>
      </c>
      <c r="G36" s="5">
        <v>46057</v>
      </c>
      <c r="H36" s="6">
        <f t="shared" si="1"/>
        <v>6</v>
      </c>
      <c r="J36" s="9">
        <v>2026</v>
      </c>
      <c r="K36" s="9">
        <v>34</v>
      </c>
      <c r="L36" s="9" t="str">
        <f t="shared" si="0"/>
        <v>S3426</v>
      </c>
      <c r="M36" s="10">
        <v>46252</v>
      </c>
      <c r="N36" s="10">
        <v>46258</v>
      </c>
    </row>
    <row r="37" spans="1:16">
      <c r="C37" s="2" t="s">
        <v>106</v>
      </c>
      <c r="D37" s="2" t="s">
        <v>69</v>
      </c>
      <c r="E37" s="2" t="str">
        <f>Table2[[#This Row],[Servicio]]&amp;" - "&amp;Table2[[#This Row],[Tipo de Equipo]]</f>
        <v>REFACCIONES - CUARTO FRIO</v>
      </c>
      <c r="G37" s="5">
        <v>46058</v>
      </c>
      <c r="H37" s="6">
        <f t="shared" si="1"/>
        <v>6</v>
      </c>
      <c r="J37" s="9">
        <v>2026</v>
      </c>
      <c r="K37" s="9">
        <v>35</v>
      </c>
      <c r="L37" s="9" t="str">
        <f t="shared" si="0"/>
        <v>S3526</v>
      </c>
      <c r="M37" s="10">
        <v>46259</v>
      </c>
      <c r="N37" s="10">
        <v>46265</v>
      </c>
    </row>
    <row r="38" spans="1:16">
      <c r="C38" s="2" t="s">
        <v>107</v>
      </c>
      <c r="D38" s="2" t="s">
        <v>66</v>
      </c>
      <c r="E38" s="2" t="str">
        <f>Table2[[#This Row],[Servicio]]&amp;" - "&amp;Table2[[#This Row],[Tipo de Equipo]]</f>
        <v>COMPRA TANQUE CO2 - BARRIL</v>
      </c>
      <c r="G38" s="5">
        <v>46059</v>
      </c>
      <c r="H38" s="6">
        <f t="shared" si="1"/>
        <v>6</v>
      </c>
      <c r="J38" s="9">
        <v>2026</v>
      </c>
      <c r="K38" s="9">
        <v>36</v>
      </c>
      <c r="L38" s="9" t="str">
        <f t="shared" si="0"/>
        <v>S3626</v>
      </c>
      <c r="M38" s="10">
        <v>46266</v>
      </c>
      <c r="N38" s="10">
        <v>46272</v>
      </c>
    </row>
    <row r="39" spans="1:16">
      <c r="C39" s="2" t="s">
        <v>108</v>
      </c>
      <c r="D39" s="2" t="s">
        <v>60</v>
      </c>
      <c r="E39" s="2" t="str">
        <f>Table2[[#This Row],[Servicio]]&amp;" - "&amp;Table2[[#This Row],[Tipo de Equipo]]</f>
        <v>INST ENFRIADOR SIX BASE - ENFRIADOR</v>
      </c>
      <c r="G39" s="5">
        <v>46060</v>
      </c>
      <c r="H39" s="6">
        <f t="shared" si="1"/>
        <v>6</v>
      </c>
      <c r="J39" s="9">
        <v>2026</v>
      </c>
      <c r="K39" s="9">
        <v>37</v>
      </c>
      <c r="L39" s="9" t="str">
        <f t="shared" si="0"/>
        <v>S3726</v>
      </c>
      <c r="M39" s="10">
        <v>46273</v>
      </c>
      <c r="N39" s="10">
        <v>46279</v>
      </c>
    </row>
    <row r="40" spans="1:16">
      <c r="C40" s="2" t="s">
        <v>109</v>
      </c>
      <c r="D40" s="2" t="s">
        <v>63</v>
      </c>
      <c r="E40" s="2" t="str">
        <f>Table2[[#This Row],[Servicio]]&amp;" - "&amp;Table2[[#This Row],[Tipo de Equipo]]</f>
        <v>INST MH SIX BASE - MAQUINA HIELO</v>
      </c>
      <c r="G40" s="5">
        <v>46061</v>
      </c>
      <c r="H40" s="6">
        <f t="shared" si="1"/>
        <v>6</v>
      </c>
      <c r="J40" s="9">
        <v>2026</v>
      </c>
      <c r="K40" s="9">
        <v>38</v>
      </c>
      <c r="L40" s="9" t="str">
        <f t="shared" si="0"/>
        <v>S3826</v>
      </c>
      <c r="M40" s="10">
        <v>46280</v>
      </c>
      <c r="N40" s="10">
        <v>46286</v>
      </c>
    </row>
    <row r="41" spans="1:16">
      <c r="C41" s="2" t="s">
        <v>110</v>
      </c>
      <c r="D41" s="2" t="s">
        <v>97</v>
      </c>
      <c r="E41" s="2" t="str">
        <f>Table2[[#This Row],[Servicio]]&amp;" - "&amp;Table2[[#This Row],[Tipo de Equipo]]</f>
        <v>INST-CC - MOBILIARIO</v>
      </c>
      <c r="G41" s="5">
        <v>46062</v>
      </c>
      <c r="H41" s="6">
        <f t="shared" si="1"/>
        <v>7</v>
      </c>
      <c r="J41" s="9">
        <v>2026</v>
      </c>
      <c r="K41" s="9">
        <v>39</v>
      </c>
      <c r="L41" s="9" t="str">
        <f t="shared" si="0"/>
        <v>S3926</v>
      </c>
      <c r="M41" s="10">
        <v>46287</v>
      </c>
      <c r="N41" s="10">
        <v>46293</v>
      </c>
    </row>
    <row r="42" spans="1:16">
      <c r="C42" s="2" t="s">
        <v>111</v>
      </c>
      <c r="D42" s="2" t="s">
        <v>97</v>
      </c>
      <c r="E42" s="2" t="str">
        <f>Table2[[#This Row],[Servicio]]&amp;" - "&amp;Table2[[#This Row],[Tipo de Equipo]]</f>
        <v>INST-CM - MOBILIARIO</v>
      </c>
      <c r="G42" s="5">
        <v>46063</v>
      </c>
      <c r="H42" s="6">
        <f t="shared" si="1"/>
        <v>7</v>
      </c>
      <c r="J42" s="9">
        <v>2026</v>
      </c>
      <c r="K42" s="9">
        <v>40</v>
      </c>
      <c r="L42" s="9" t="str">
        <f t="shared" si="0"/>
        <v>S4026</v>
      </c>
      <c r="M42" s="10">
        <v>46294</v>
      </c>
      <c r="N42" s="10">
        <v>46300</v>
      </c>
    </row>
    <row r="43" spans="1:16">
      <c r="C43" s="2" t="s">
        <v>112</v>
      </c>
      <c r="D43" s="2" t="s">
        <v>97</v>
      </c>
      <c r="E43" s="2" t="str">
        <f>Table2[[#This Row],[Servicio]]&amp;" - "&amp;Table2[[#This Row],[Tipo de Equipo]]</f>
        <v>INST-PV - MOBILIARIO</v>
      </c>
      <c r="G43" s="5">
        <v>46064</v>
      </c>
      <c r="H43" s="6">
        <f t="shared" si="1"/>
        <v>7</v>
      </c>
      <c r="J43" s="9">
        <v>2026</v>
      </c>
      <c r="K43" s="9">
        <v>41</v>
      </c>
      <c r="L43" s="9" t="str">
        <f t="shared" si="0"/>
        <v>S4126</v>
      </c>
      <c r="M43" s="10">
        <v>46301</v>
      </c>
      <c r="N43" s="10">
        <v>46307</v>
      </c>
    </row>
    <row r="44" spans="1:16">
      <c r="C44" s="2" t="s">
        <v>113</v>
      </c>
      <c r="D44" s="2" t="s">
        <v>97</v>
      </c>
      <c r="E44" s="2" t="str">
        <f>Table2[[#This Row],[Servicio]]&amp;" - "&amp;Table2[[#This Row],[Tipo de Equipo]]</f>
        <v>INST-SIX - MOBILIARIO</v>
      </c>
      <c r="G44" s="5">
        <v>46065</v>
      </c>
      <c r="H44" s="6">
        <f t="shared" si="1"/>
        <v>7</v>
      </c>
      <c r="J44" s="9">
        <v>2026</v>
      </c>
      <c r="K44" s="9">
        <v>42</v>
      </c>
      <c r="L44" s="9" t="str">
        <f t="shared" si="0"/>
        <v>S4226</v>
      </c>
      <c r="M44" s="10">
        <v>46308</v>
      </c>
      <c r="N44" s="10">
        <v>46314</v>
      </c>
      <c r="P44" s="1"/>
    </row>
    <row r="45" spans="1:16">
      <c r="C45" s="2" t="s">
        <v>114</v>
      </c>
      <c r="D45" s="2" t="s">
        <v>97</v>
      </c>
      <c r="E45" s="2" t="str">
        <f>Table2[[#This Row],[Servicio]]&amp;" - "&amp;Table2[[#This Row],[Tipo de Equipo]]</f>
        <v>RET-CC - MOBILIARIO</v>
      </c>
      <c r="G45" s="5">
        <v>46066</v>
      </c>
      <c r="H45" s="6">
        <f t="shared" si="1"/>
        <v>7</v>
      </c>
      <c r="J45" s="9">
        <v>2026</v>
      </c>
      <c r="K45" s="9">
        <v>43</v>
      </c>
      <c r="L45" s="9" t="str">
        <f t="shared" si="0"/>
        <v>S4326</v>
      </c>
      <c r="M45" s="10">
        <v>46315</v>
      </c>
      <c r="N45" s="10">
        <v>46321</v>
      </c>
    </row>
    <row r="46" spans="1:16">
      <c r="C46" s="2" t="s">
        <v>115</v>
      </c>
      <c r="D46" s="2" t="s">
        <v>97</v>
      </c>
      <c r="E46" s="2" t="str">
        <f>Table2[[#This Row],[Servicio]]&amp;" - "&amp;Table2[[#This Row],[Tipo de Equipo]]</f>
        <v>RET-CM - MOBILIARIO</v>
      </c>
      <c r="G46" s="5">
        <v>46067</v>
      </c>
      <c r="H46" s="6">
        <f t="shared" si="1"/>
        <v>7</v>
      </c>
      <c r="J46" s="9">
        <v>2026</v>
      </c>
      <c r="K46" s="9">
        <v>44</v>
      </c>
      <c r="L46" s="9" t="str">
        <f t="shared" si="0"/>
        <v>S4426</v>
      </c>
      <c r="M46" s="10">
        <v>46322</v>
      </c>
      <c r="N46" s="10">
        <v>46328</v>
      </c>
    </row>
    <row r="47" spans="1:16">
      <c r="C47" s="2" t="s">
        <v>116</v>
      </c>
      <c r="D47" s="2" t="s">
        <v>97</v>
      </c>
      <c r="E47" s="2" t="str">
        <f>Table2[[#This Row],[Servicio]]&amp;" - "&amp;Table2[[#This Row],[Tipo de Equipo]]</f>
        <v>RET-PV - MOBILIARIO</v>
      </c>
      <c r="G47" s="5">
        <v>46068</v>
      </c>
      <c r="H47" s="6">
        <f t="shared" si="1"/>
        <v>7</v>
      </c>
      <c r="J47" s="9">
        <v>2026</v>
      </c>
      <c r="K47" s="9">
        <v>45</v>
      </c>
      <c r="L47" s="9" t="str">
        <f t="shared" si="0"/>
        <v>S4526</v>
      </c>
      <c r="M47" s="10">
        <v>46329</v>
      </c>
      <c r="N47" s="10">
        <v>46335</v>
      </c>
    </row>
    <row r="48" spans="1:16">
      <c r="C48" s="2" t="s">
        <v>117</v>
      </c>
      <c r="D48" s="2" t="s">
        <v>97</v>
      </c>
      <c r="E48" s="2" t="str">
        <f>Table2[[#This Row],[Servicio]]&amp;" - "&amp;Table2[[#This Row],[Tipo de Equipo]]</f>
        <v>RET-SIX - MOBILIARIO</v>
      </c>
      <c r="G48" s="5">
        <v>46069</v>
      </c>
      <c r="H48" s="6">
        <f t="shared" si="1"/>
        <v>8</v>
      </c>
      <c r="J48" s="9">
        <v>2026</v>
      </c>
      <c r="K48" s="9">
        <v>46</v>
      </c>
      <c r="L48" s="9" t="str">
        <f t="shared" si="0"/>
        <v>S4626</v>
      </c>
      <c r="M48" s="10">
        <v>46336</v>
      </c>
      <c r="N48" s="10">
        <v>46342</v>
      </c>
    </row>
    <row r="49" spans="3:14">
      <c r="C49" s="2" t="s">
        <v>118</v>
      </c>
      <c r="D49" s="2" t="s">
        <v>45</v>
      </c>
      <c r="E49" s="2" t="str">
        <f>Table2[[#This Row],[Servicio]]&amp;" - "&amp;Table2[[#This Row],[Tipo de Equipo]]</f>
        <v>FLETES-TALLER - MOVIMIENTOS</v>
      </c>
      <c r="G49" s="5">
        <v>46070</v>
      </c>
      <c r="H49" s="6">
        <f t="shared" si="1"/>
        <v>8</v>
      </c>
      <c r="J49" s="9">
        <v>2026</v>
      </c>
      <c r="K49" s="9">
        <v>47</v>
      </c>
      <c r="L49" s="9" t="str">
        <f t="shared" si="0"/>
        <v>S4726</v>
      </c>
      <c r="M49" s="10">
        <v>46343</v>
      </c>
      <c r="N49" s="10">
        <v>46349</v>
      </c>
    </row>
    <row r="50" spans="3:14">
      <c r="G50" s="5">
        <v>46071</v>
      </c>
      <c r="H50" s="6">
        <f t="shared" si="1"/>
        <v>8</v>
      </c>
      <c r="J50" s="9">
        <v>2026</v>
      </c>
      <c r="K50" s="9">
        <v>48</v>
      </c>
      <c r="L50" s="9" t="str">
        <f t="shared" si="0"/>
        <v>S4826</v>
      </c>
      <c r="M50" s="10">
        <v>46350</v>
      </c>
      <c r="N50" s="10">
        <v>46356</v>
      </c>
    </row>
    <row r="51" spans="3:14">
      <c r="G51" s="5">
        <v>46072</v>
      </c>
      <c r="H51" s="6">
        <f t="shared" si="1"/>
        <v>8</v>
      </c>
      <c r="J51" s="9">
        <v>2026</v>
      </c>
      <c r="K51" s="9">
        <v>49</v>
      </c>
      <c r="L51" s="9" t="str">
        <f t="shared" si="0"/>
        <v>S4926</v>
      </c>
      <c r="M51" s="10">
        <v>46357</v>
      </c>
      <c r="N51" s="10">
        <v>46363</v>
      </c>
    </row>
    <row r="52" spans="3:14">
      <c r="G52" s="5">
        <v>46073</v>
      </c>
      <c r="H52" s="6">
        <f t="shared" si="1"/>
        <v>8</v>
      </c>
      <c r="J52" s="9">
        <v>2026</v>
      </c>
      <c r="K52" s="9">
        <v>50</v>
      </c>
      <c r="L52" s="9" t="str">
        <f t="shared" si="0"/>
        <v>S5026</v>
      </c>
      <c r="M52" s="10">
        <v>46364</v>
      </c>
      <c r="N52" s="10">
        <v>46370</v>
      </c>
    </row>
    <row r="53" spans="3:14">
      <c r="G53" s="5">
        <v>46074</v>
      </c>
      <c r="H53" s="6">
        <f t="shared" si="1"/>
        <v>8</v>
      </c>
      <c r="J53" s="9">
        <v>2026</v>
      </c>
      <c r="K53" s="9">
        <v>51</v>
      </c>
      <c r="L53" s="9" t="str">
        <f t="shared" si="0"/>
        <v>S5126</v>
      </c>
      <c r="M53" s="10">
        <v>46371</v>
      </c>
      <c r="N53" s="10">
        <v>46377</v>
      </c>
    </row>
    <row r="54" spans="3:14">
      <c r="G54" s="5">
        <v>46075</v>
      </c>
      <c r="H54" s="6">
        <f t="shared" si="1"/>
        <v>8</v>
      </c>
      <c r="J54" s="9">
        <v>2026</v>
      </c>
      <c r="K54" s="9">
        <v>52</v>
      </c>
      <c r="L54" s="9" t="str">
        <f t="shared" si="0"/>
        <v>S5226</v>
      </c>
      <c r="M54" s="11">
        <v>46378</v>
      </c>
      <c r="N54" s="11">
        <v>46384</v>
      </c>
    </row>
    <row r="55" spans="3:14">
      <c r="G55" s="5">
        <v>46076</v>
      </c>
      <c r="H55" s="6">
        <f t="shared" si="1"/>
        <v>9</v>
      </c>
    </row>
    <row r="56" spans="3:14">
      <c r="G56" s="5">
        <v>46077</v>
      </c>
      <c r="H56" s="6">
        <f t="shared" si="1"/>
        <v>9</v>
      </c>
    </row>
    <row r="57" spans="3:14">
      <c r="G57" s="5">
        <v>46078</v>
      </c>
      <c r="H57" s="6">
        <f t="shared" si="1"/>
        <v>9</v>
      </c>
    </row>
    <row r="58" spans="3:14">
      <c r="G58" s="5">
        <v>46079</v>
      </c>
      <c r="H58" s="6">
        <f t="shared" si="1"/>
        <v>9</v>
      </c>
    </row>
    <row r="59" spans="3:14">
      <c r="G59" s="5">
        <v>46080</v>
      </c>
      <c r="H59" s="6">
        <f t="shared" si="1"/>
        <v>9</v>
      </c>
    </row>
    <row r="60" spans="3:14">
      <c r="G60" s="5">
        <v>46081</v>
      </c>
      <c r="H60" s="6">
        <f t="shared" si="1"/>
        <v>9</v>
      </c>
    </row>
    <row r="61" spans="3:14">
      <c r="G61" s="5">
        <v>46082</v>
      </c>
      <c r="H61" s="6">
        <f t="shared" si="1"/>
        <v>9</v>
      </c>
    </row>
    <row r="62" spans="3:14">
      <c r="G62" s="5">
        <v>46083</v>
      </c>
      <c r="H62" s="6">
        <f t="shared" si="1"/>
        <v>10</v>
      </c>
    </row>
    <row r="63" spans="3:14">
      <c r="G63" s="5">
        <v>46084</v>
      </c>
      <c r="H63" s="6">
        <f t="shared" si="1"/>
        <v>10</v>
      </c>
    </row>
    <row r="64" spans="3:14">
      <c r="G64" s="5">
        <v>46085</v>
      </c>
      <c r="H64" s="6">
        <f t="shared" si="1"/>
        <v>10</v>
      </c>
    </row>
    <row r="65" spans="7:8">
      <c r="G65" s="5">
        <v>46086</v>
      </c>
      <c r="H65" s="6">
        <f t="shared" si="1"/>
        <v>10</v>
      </c>
    </row>
    <row r="66" spans="7:8">
      <c r="G66" s="5">
        <v>46087</v>
      </c>
      <c r="H66" s="6">
        <f t="shared" si="1"/>
        <v>10</v>
      </c>
    </row>
    <row r="67" spans="7:8">
      <c r="G67" s="5">
        <v>46088</v>
      </c>
      <c r="H67" s="6">
        <f t="shared" ref="H67:H130" si="2">_xlfn.ISOWEEKNUM(G67)</f>
        <v>10</v>
      </c>
    </row>
    <row r="68" spans="7:8">
      <c r="G68" s="5">
        <v>46089</v>
      </c>
      <c r="H68" s="6">
        <f t="shared" si="2"/>
        <v>10</v>
      </c>
    </row>
    <row r="69" spans="7:8">
      <c r="G69" s="5">
        <v>46090</v>
      </c>
      <c r="H69" s="6">
        <f t="shared" si="2"/>
        <v>11</v>
      </c>
    </row>
    <row r="70" spans="7:8">
      <c r="G70" s="5">
        <v>46091</v>
      </c>
      <c r="H70" s="6">
        <f t="shared" si="2"/>
        <v>11</v>
      </c>
    </row>
    <row r="71" spans="7:8">
      <c r="G71" s="5">
        <v>46092</v>
      </c>
      <c r="H71" s="6">
        <f t="shared" si="2"/>
        <v>11</v>
      </c>
    </row>
    <row r="72" spans="7:8">
      <c r="G72" s="5">
        <v>46093</v>
      </c>
      <c r="H72" s="6">
        <f t="shared" si="2"/>
        <v>11</v>
      </c>
    </row>
    <row r="73" spans="7:8">
      <c r="G73" s="5">
        <v>46094</v>
      </c>
      <c r="H73" s="6">
        <f t="shared" si="2"/>
        <v>11</v>
      </c>
    </row>
    <row r="74" spans="7:8">
      <c r="G74" s="5">
        <v>46095</v>
      </c>
      <c r="H74" s="6">
        <f t="shared" si="2"/>
        <v>11</v>
      </c>
    </row>
    <row r="75" spans="7:8">
      <c r="G75" s="5">
        <v>46096</v>
      </c>
      <c r="H75" s="6">
        <f t="shared" si="2"/>
        <v>11</v>
      </c>
    </row>
    <row r="76" spans="7:8">
      <c r="G76" s="5">
        <v>46097</v>
      </c>
      <c r="H76" s="6">
        <f t="shared" si="2"/>
        <v>12</v>
      </c>
    </row>
    <row r="77" spans="7:8">
      <c r="G77" s="5">
        <v>46098</v>
      </c>
      <c r="H77" s="6">
        <f t="shared" si="2"/>
        <v>12</v>
      </c>
    </row>
    <row r="78" spans="7:8">
      <c r="G78" s="5">
        <v>46099</v>
      </c>
      <c r="H78" s="6">
        <f t="shared" si="2"/>
        <v>12</v>
      </c>
    </row>
    <row r="79" spans="7:8">
      <c r="G79" s="5">
        <v>46100</v>
      </c>
      <c r="H79" s="6">
        <f t="shared" si="2"/>
        <v>12</v>
      </c>
    </row>
    <row r="80" spans="7:8">
      <c r="G80" s="5">
        <v>46101</v>
      </c>
      <c r="H80" s="6">
        <f t="shared" si="2"/>
        <v>12</v>
      </c>
    </row>
    <row r="81" spans="7:8">
      <c r="G81" s="5">
        <v>46102</v>
      </c>
      <c r="H81" s="6">
        <f t="shared" si="2"/>
        <v>12</v>
      </c>
    </row>
    <row r="82" spans="7:8">
      <c r="G82" s="5">
        <v>46103</v>
      </c>
      <c r="H82" s="6">
        <f t="shared" si="2"/>
        <v>12</v>
      </c>
    </row>
    <row r="83" spans="7:8">
      <c r="G83" s="5">
        <v>46104</v>
      </c>
      <c r="H83" s="6">
        <f t="shared" si="2"/>
        <v>13</v>
      </c>
    </row>
    <row r="84" spans="7:8">
      <c r="G84" s="5">
        <v>46105</v>
      </c>
      <c r="H84" s="6">
        <f t="shared" si="2"/>
        <v>13</v>
      </c>
    </row>
    <row r="85" spans="7:8">
      <c r="G85" s="5">
        <v>46106</v>
      </c>
      <c r="H85" s="6">
        <f t="shared" si="2"/>
        <v>13</v>
      </c>
    </row>
    <row r="86" spans="7:8">
      <c r="G86" s="5">
        <v>46107</v>
      </c>
      <c r="H86" s="6">
        <f t="shared" si="2"/>
        <v>13</v>
      </c>
    </row>
    <row r="87" spans="7:8">
      <c r="G87" s="5">
        <v>46108</v>
      </c>
      <c r="H87" s="6">
        <f t="shared" si="2"/>
        <v>13</v>
      </c>
    </row>
    <row r="88" spans="7:8">
      <c r="G88" s="5">
        <v>46109</v>
      </c>
      <c r="H88" s="6">
        <f t="shared" si="2"/>
        <v>13</v>
      </c>
    </row>
    <row r="89" spans="7:8">
      <c r="G89" s="5">
        <v>46110</v>
      </c>
      <c r="H89" s="6">
        <f t="shared" si="2"/>
        <v>13</v>
      </c>
    </row>
    <row r="90" spans="7:8">
      <c r="G90" s="5">
        <v>46111</v>
      </c>
      <c r="H90" s="6">
        <f t="shared" si="2"/>
        <v>14</v>
      </c>
    </row>
    <row r="91" spans="7:8">
      <c r="G91" s="5">
        <v>46112</v>
      </c>
      <c r="H91" s="6">
        <f t="shared" si="2"/>
        <v>14</v>
      </c>
    </row>
    <row r="92" spans="7:8">
      <c r="G92" s="5">
        <v>46113</v>
      </c>
      <c r="H92" s="6">
        <f t="shared" si="2"/>
        <v>14</v>
      </c>
    </row>
    <row r="93" spans="7:8">
      <c r="G93" s="5">
        <v>46114</v>
      </c>
      <c r="H93" s="6">
        <f t="shared" si="2"/>
        <v>14</v>
      </c>
    </row>
    <row r="94" spans="7:8">
      <c r="G94" s="5">
        <v>46115</v>
      </c>
      <c r="H94" s="6">
        <f t="shared" si="2"/>
        <v>14</v>
      </c>
    </row>
    <row r="95" spans="7:8">
      <c r="G95" s="5">
        <v>46116</v>
      </c>
      <c r="H95" s="6">
        <f t="shared" si="2"/>
        <v>14</v>
      </c>
    </row>
    <row r="96" spans="7:8">
      <c r="G96" s="5">
        <v>46117</v>
      </c>
      <c r="H96" s="6">
        <f t="shared" si="2"/>
        <v>14</v>
      </c>
    </row>
    <row r="97" spans="7:8">
      <c r="G97" s="5">
        <v>46118</v>
      </c>
      <c r="H97" s="6">
        <f t="shared" si="2"/>
        <v>15</v>
      </c>
    </row>
    <row r="98" spans="7:8">
      <c r="G98" s="5">
        <v>46119</v>
      </c>
      <c r="H98" s="6">
        <f t="shared" si="2"/>
        <v>15</v>
      </c>
    </row>
    <row r="99" spans="7:8">
      <c r="G99" s="5">
        <v>46120</v>
      </c>
      <c r="H99" s="6">
        <f t="shared" si="2"/>
        <v>15</v>
      </c>
    </row>
    <row r="100" spans="7:8">
      <c r="G100" s="5">
        <v>46121</v>
      </c>
      <c r="H100" s="6">
        <f t="shared" si="2"/>
        <v>15</v>
      </c>
    </row>
    <row r="101" spans="7:8">
      <c r="G101" s="5">
        <v>46122</v>
      </c>
      <c r="H101" s="6">
        <f t="shared" si="2"/>
        <v>15</v>
      </c>
    </row>
    <row r="102" spans="7:8">
      <c r="G102" s="5">
        <v>46123</v>
      </c>
      <c r="H102" s="6">
        <f t="shared" si="2"/>
        <v>15</v>
      </c>
    </row>
    <row r="103" spans="7:8">
      <c r="G103" s="5">
        <v>46124</v>
      </c>
      <c r="H103" s="6">
        <f t="shared" si="2"/>
        <v>15</v>
      </c>
    </row>
    <row r="104" spans="7:8">
      <c r="G104" s="5">
        <v>46125</v>
      </c>
      <c r="H104" s="6">
        <f t="shared" si="2"/>
        <v>16</v>
      </c>
    </row>
    <row r="105" spans="7:8">
      <c r="G105" s="5">
        <v>46126</v>
      </c>
      <c r="H105" s="6">
        <f t="shared" si="2"/>
        <v>16</v>
      </c>
    </row>
    <row r="106" spans="7:8">
      <c r="G106" s="5">
        <v>46127</v>
      </c>
      <c r="H106" s="6">
        <f t="shared" si="2"/>
        <v>16</v>
      </c>
    </row>
    <row r="107" spans="7:8">
      <c r="G107" s="5">
        <v>46128</v>
      </c>
      <c r="H107" s="6">
        <f t="shared" si="2"/>
        <v>16</v>
      </c>
    </row>
    <row r="108" spans="7:8">
      <c r="G108" s="5">
        <v>46129</v>
      </c>
      <c r="H108" s="6">
        <f t="shared" si="2"/>
        <v>16</v>
      </c>
    </row>
    <row r="109" spans="7:8">
      <c r="G109" s="5">
        <v>46130</v>
      </c>
      <c r="H109" s="6">
        <f t="shared" si="2"/>
        <v>16</v>
      </c>
    </row>
    <row r="110" spans="7:8">
      <c r="G110" s="5">
        <v>46131</v>
      </c>
      <c r="H110" s="6">
        <f t="shared" si="2"/>
        <v>16</v>
      </c>
    </row>
    <row r="111" spans="7:8">
      <c r="G111" s="5">
        <v>46132</v>
      </c>
      <c r="H111" s="6">
        <f t="shared" si="2"/>
        <v>17</v>
      </c>
    </row>
    <row r="112" spans="7:8">
      <c r="G112" s="5">
        <v>46133</v>
      </c>
      <c r="H112" s="6">
        <f t="shared" si="2"/>
        <v>17</v>
      </c>
    </row>
    <row r="113" spans="7:8">
      <c r="G113" s="5">
        <v>46134</v>
      </c>
      <c r="H113" s="6">
        <f t="shared" si="2"/>
        <v>17</v>
      </c>
    </row>
    <row r="114" spans="7:8">
      <c r="G114" s="5">
        <v>46135</v>
      </c>
      <c r="H114" s="6">
        <f t="shared" si="2"/>
        <v>17</v>
      </c>
    </row>
    <row r="115" spans="7:8">
      <c r="G115" s="5">
        <v>46136</v>
      </c>
      <c r="H115" s="6">
        <f t="shared" si="2"/>
        <v>17</v>
      </c>
    </row>
    <row r="116" spans="7:8">
      <c r="G116" s="5">
        <v>46137</v>
      </c>
      <c r="H116" s="6">
        <f t="shared" si="2"/>
        <v>17</v>
      </c>
    </row>
    <row r="117" spans="7:8">
      <c r="G117" s="5">
        <v>46138</v>
      </c>
      <c r="H117" s="6">
        <f t="shared" si="2"/>
        <v>17</v>
      </c>
    </row>
    <row r="118" spans="7:8">
      <c r="G118" s="5">
        <v>46139</v>
      </c>
      <c r="H118" s="6">
        <f t="shared" si="2"/>
        <v>18</v>
      </c>
    </row>
    <row r="119" spans="7:8">
      <c r="G119" s="5">
        <v>46140</v>
      </c>
      <c r="H119" s="6">
        <f t="shared" si="2"/>
        <v>18</v>
      </c>
    </row>
    <row r="120" spans="7:8">
      <c r="G120" s="5">
        <v>46141</v>
      </c>
      <c r="H120" s="6">
        <f t="shared" si="2"/>
        <v>18</v>
      </c>
    </row>
    <row r="121" spans="7:8">
      <c r="G121" s="5">
        <v>46142</v>
      </c>
      <c r="H121" s="6">
        <f t="shared" si="2"/>
        <v>18</v>
      </c>
    </row>
    <row r="122" spans="7:8">
      <c r="G122" s="5">
        <v>46143</v>
      </c>
      <c r="H122" s="6">
        <f t="shared" si="2"/>
        <v>18</v>
      </c>
    </row>
    <row r="123" spans="7:8">
      <c r="G123" s="5">
        <v>46144</v>
      </c>
      <c r="H123" s="6">
        <f t="shared" si="2"/>
        <v>18</v>
      </c>
    </row>
    <row r="124" spans="7:8">
      <c r="G124" s="5">
        <v>46145</v>
      </c>
      <c r="H124" s="6">
        <f t="shared" si="2"/>
        <v>18</v>
      </c>
    </row>
    <row r="125" spans="7:8">
      <c r="G125" s="5">
        <v>46146</v>
      </c>
      <c r="H125" s="6">
        <f t="shared" si="2"/>
        <v>19</v>
      </c>
    </row>
    <row r="126" spans="7:8">
      <c r="G126" s="5">
        <v>46147</v>
      </c>
      <c r="H126" s="6">
        <f t="shared" si="2"/>
        <v>19</v>
      </c>
    </row>
    <row r="127" spans="7:8">
      <c r="G127" s="5">
        <v>46148</v>
      </c>
      <c r="H127" s="6">
        <f t="shared" si="2"/>
        <v>19</v>
      </c>
    </row>
    <row r="128" spans="7:8">
      <c r="G128" s="5">
        <v>46149</v>
      </c>
      <c r="H128" s="6">
        <f t="shared" si="2"/>
        <v>19</v>
      </c>
    </row>
    <row r="129" spans="7:8">
      <c r="G129" s="5">
        <v>46150</v>
      </c>
      <c r="H129" s="6">
        <f t="shared" si="2"/>
        <v>19</v>
      </c>
    </row>
    <row r="130" spans="7:8">
      <c r="G130" s="5">
        <v>46151</v>
      </c>
      <c r="H130" s="6">
        <f t="shared" si="2"/>
        <v>19</v>
      </c>
    </row>
    <row r="131" spans="7:8">
      <c r="G131" s="5">
        <v>46152</v>
      </c>
      <c r="H131" s="6">
        <f t="shared" ref="H131:H194" si="3">_xlfn.ISOWEEKNUM(G131)</f>
        <v>19</v>
      </c>
    </row>
    <row r="132" spans="7:8">
      <c r="G132" s="5">
        <v>46153</v>
      </c>
      <c r="H132" s="6">
        <f t="shared" si="3"/>
        <v>20</v>
      </c>
    </row>
    <row r="133" spans="7:8">
      <c r="G133" s="5">
        <v>46154</v>
      </c>
      <c r="H133" s="6">
        <f t="shared" si="3"/>
        <v>20</v>
      </c>
    </row>
    <row r="134" spans="7:8">
      <c r="G134" s="5">
        <v>46155</v>
      </c>
      <c r="H134" s="6">
        <f t="shared" si="3"/>
        <v>20</v>
      </c>
    </row>
    <row r="135" spans="7:8">
      <c r="G135" s="5">
        <v>46156</v>
      </c>
      <c r="H135" s="6">
        <f t="shared" si="3"/>
        <v>20</v>
      </c>
    </row>
    <row r="136" spans="7:8">
      <c r="G136" s="5">
        <v>46157</v>
      </c>
      <c r="H136" s="6">
        <f t="shared" si="3"/>
        <v>20</v>
      </c>
    </row>
    <row r="137" spans="7:8">
      <c r="G137" s="5">
        <v>46158</v>
      </c>
      <c r="H137" s="6">
        <f t="shared" si="3"/>
        <v>20</v>
      </c>
    </row>
    <row r="138" spans="7:8">
      <c r="G138" s="5">
        <v>46159</v>
      </c>
      <c r="H138" s="6">
        <f t="shared" si="3"/>
        <v>20</v>
      </c>
    </row>
    <row r="139" spans="7:8">
      <c r="G139" s="5">
        <v>46160</v>
      </c>
      <c r="H139" s="6">
        <f t="shared" si="3"/>
        <v>21</v>
      </c>
    </row>
    <row r="140" spans="7:8">
      <c r="G140" s="5">
        <v>46161</v>
      </c>
      <c r="H140" s="6">
        <f t="shared" si="3"/>
        <v>21</v>
      </c>
    </row>
    <row r="141" spans="7:8">
      <c r="G141" s="5">
        <v>46162</v>
      </c>
      <c r="H141" s="6">
        <f t="shared" si="3"/>
        <v>21</v>
      </c>
    </row>
    <row r="142" spans="7:8">
      <c r="G142" s="5">
        <v>46163</v>
      </c>
      <c r="H142" s="6">
        <f t="shared" si="3"/>
        <v>21</v>
      </c>
    </row>
    <row r="143" spans="7:8">
      <c r="G143" s="5">
        <v>46164</v>
      </c>
      <c r="H143" s="6">
        <f t="shared" si="3"/>
        <v>21</v>
      </c>
    </row>
    <row r="144" spans="7:8">
      <c r="G144" s="5">
        <v>46165</v>
      </c>
      <c r="H144" s="6">
        <f t="shared" si="3"/>
        <v>21</v>
      </c>
    </row>
    <row r="145" spans="7:8">
      <c r="G145" s="5">
        <v>46166</v>
      </c>
      <c r="H145" s="6">
        <f t="shared" si="3"/>
        <v>21</v>
      </c>
    </row>
    <row r="146" spans="7:8">
      <c r="G146" s="5">
        <v>46167</v>
      </c>
      <c r="H146" s="6">
        <f t="shared" si="3"/>
        <v>22</v>
      </c>
    </row>
    <row r="147" spans="7:8">
      <c r="G147" s="5">
        <v>46168</v>
      </c>
      <c r="H147" s="6">
        <f t="shared" si="3"/>
        <v>22</v>
      </c>
    </row>
    <row r="148" spans="7:8">
      <c r="G148" s="5">
        <v>46169</v>
      </c>
      <c r="H148" s="6">
        <f t="shared" si="3"/>
        <v>22</v>
      </c>
    </row>
    <row r="149" spans="7:8">
      <c r="G149" s="5">
        <v>46170</v>
      </c>
      <c r="H149" s="6">
        <f t="shared" si="3"/>
        <v>22</v>
      </c>
    </row>
    <row r="150" spans="7:8">
      <c r="G150" s="5">
        <v>46171</v>
      </c>
      <c r="H150" s="6">
        <f t="shared" si="3"/>
        <v>22</v>
      </c>
    </row>
    <row r="151" spans="7:8">
      <c r="G151" s="5">
        <v>46172</v>
      </c>
      <c r="H151" s="6">
        <f t="shared" si="3"/>
        <v>22</v>
      </c>
    </row>
    <row r="152" spans="7:8">
      <c r="G152" s="5">
        <v>46173</v>
      </c>
      <c r="H152" s="6">
        <f t="shared" si="3"/>
        <v>22</v>
      </c>
    </row>
    <row r="153" spans="7:8">
      <c r="G153" s="5">
        <v>46174</v>
      </c>
      <c r="H153" s="6">
        <f t="shared" si="3"/>
        <v>23</v>
      </c>
    </row>
    <row r="154" spans="7:8">
      <c r="G154" s="5">
        <v>46175</v>
      </c>
      <c r="H154" s="6">
        <f t="shared" si="3"/>
        <v>23</v>
      </c>
    </row>
    <row r="155" spans="7:8">
      <c r="G155" s="5">
        <v>46176</v>
      </c>
      <c r="H155" s="6">
        <f t="shared" si="3"/>
        <v>23</v>
      </c>
    </row>
    <row r="156" spans="7:8">
      <c r="G156" s="5">
        <v>46177</v>
      </c>
      <c r="H156" s="6">
        <f t="shared" si="3"/>
        <v>23</v>
      </c>
    </row>
    <row r="157" spans="7:8">
      <c r="G157" s="5">
        <v>46178</v>
      </c>
      <c r="H157" s="6">
        <f t="shared" si="3"/>
        <v>23</v>
      </c>
    </row>
    <row r="158" spans="7:8">
      <c r="G158" s="5">
        <v>46179</v>
      </c>
      <c r="H158" s="6">
        <f t="shared" si="3"/>
        <v>23</v>
      </c>
    </row>
    <row r="159" spans="7:8">
      <c r="G159" s="5">
        <v>46180</v>
      </c>
      <c r="H159" s="6">
        <f t="shared" si="3"/>
        <v>23</v>
      </c>
    </row>
    <row r="160" spans="7:8">
      <c r="G160" s="5">
        <v>46181</v>
      </c>
      <c r="H160" s="6">
        <f t="shared" si="3"/>
        <v>24</v>
      </c>
    </row>
    <row r="161" spans="7:8">
      <c r="G161" s="5">
        <v>46182</v>
      </c>
      <c r="H161" s="6">
        <f t="shared" si="3"/>
        <v>24</v>
      </c>
    </row>
    <row r="162" spans="7:8">
      <c r="G162" s="5">
        <v>46183</v>
      </c>
      <c r="H162" s="6">
        <f t="shared" si="3"/>
        <v>24</v>
      </c>
    </row>
    <row r="163" spans="7:8">
      <c r="G163" s="5">
        <v>46184</v>
      </c>
      <c r="H163" s="6">
        <f t="shared" si="3"/>
        <v>24</v>
      </c>
    </row>
    <row r="164" spans="7:8">
      <c r="G164" s="5">
        <v>46185</v>
      </c>
      <c r="H164" s="6">
        <f t="shared" si="3"/>
        <v>24</v>
      </c>
    </row>
    <row r="165" spans="7:8">
      <c r="G165" s="5">
        <v>46186</v>
      </c>
      <c r="H165" s="6">
        <f t="shared" si="3"/>
        <v>24</v>
      </c>
    </row>
    <row r="166" spans="7:8">
      <c r="G166" s="5">
        <v>46187</v>
      </c>
      <c r="H166" s="6">
        <f t="shared" si="3"/>
        <v>24</v>
      </c>
    </row>
    <row r="167" spans="7:8">
      <c r="G167" s="5">
        <v>46188</v>
      </c>
      <c r="H167" s="6">
        <f t="shared" si="3"/>
        <v>25</v>
      </c>
    </row>
    <row r="168" spans="7:8">
      <c r="G168" s="5">
        <v>46189</v>
      </c>
      <c r="H168" s="6">
        <f t="shared" si="3"/>
        <v>25</v>
      </c>
    </row>
    <row r="169" spans="7:8">
      <c r="G169" s="5">
        <v>46190</v>
      </c>
      <c r="H169" s="6">
        <f t="shared" si="3"/>
        <v>25</v>
      </c>
    </row>
    <row r="170" spans="7:8">
      <c r="G170" s="5">
        <v>46191</v>
      </c>
      <c r="H170" s="6">
        <f t="shared" si="3"/>
        <v>25</v>
      </c>
    </row>
    <row r="171" spans="7:8">
      <c r="G171" s="5">
        <v>46192</v>
      </c>
      <c r="H171" s="6">
        <f t="shared" si="3"/>
        <v>25</v>
      </c>
    </row>
    <row r="172" spans="7:8">
      <c r="G172" s="5">
        <v>46193</v>
      </c>
      <c r="H172" s="6">
        <f t="shared" si="3"/>
        <v>25</v>
      </c>
    </row>
    <row r="173" spans="7:8">
      <c r="G173" s="5">
        <v>46194</v>
      </c>
      <c r="H173" s="6">
        <f t="shared" si="3"/>
        <v>25</v>
      </c>
    </row>
    <row r="174" spans="7:8">
      <c r="G174" s="5">
        <v>46195</v>
      </c>
      <c r="H174" s="6">
        <f t="shared" si="3"/>
        <v>26</v>
      </c>
    </row>
    <row r="175" spans="7:8">
      <c r="G175" s="5">
        <v>46196</v>
      </c>
      <c r="H175" s="6">
        <f t="shared" si="3"/>
        <v>26</v>
      </c>
    </row>
    <row r="176" spans="7:8">
      <c r="G176" s="5">
        <v>46197</v>
      </c>
      <c r="H176" s="6">
        <f t="shared" si="3"/>
        <v>26</v>
      </c>
    </row>
    <row r="177" spans="7:8">
      <c r="G177" s="5">
        <v>46198</v>
      </c>
      <c r="H177" s="6">
        <f t="shared" si="3"/>
        <v>26</v>
      </c>
    </row>
    <row r="178" spans="7:8">
      <c r="G178" s="5">
        <v>46199</v>
      </c>
      <c r="H178" s="6">
        <f t="shared" si="3"/>
        <v>26</v>
      </c>
    </row>
    <row r="179" spans="7:8">
      <c r="G179" s="5">
        <v>46200</v>
      </c>
      <c r="H179" s="6">
        <f t="shared" si="3"/>
        <v>26</v>
      </c>
    </row>
    <row r="180" spans="7:8">
      <c r="G180" s="5">
        <v>46201</v>
      </c>
      <c r="H180" s="6">
        <f t="shared" si="3"/>
        <v>26</v>
      </c>
    </row>
    <row r="181" spans="7:8">
      <c r="G181" s="5">
        <v>46202</v>
      </c>
      <c r="H181" s="6">
        <f t="shared" si="3"/>
        <v>27</v>
      </c>
    </row>
    <row r="182" spans="7:8">
      <c r="G182" s="5">
        <v>46203</v>
      </c>
      <c r="H182" s="6">
        <f t="shared" si="3"/>
        <v>27</v>
      </c>
    </row>
    <row r="183" spans="7:8">
      <c r="G183" s="5">
        <v>46204</v>
      </c>
      <c r="H183" s="6">
        <f t="shared" si="3"/>
        <v>27</v>
      </c>
    </row>
    <row r="184" spans="7:8">
      <c r="G184" s="5">
        <v>46205</v>
      </c>
      <c r="H184" s="6">
        <f t="shared" si="3"/>
        <v>27</v>
      </c>
    </row>
    <row r="185" spans="7:8">
      <c r="G185" s="5">
        <v>46206</v>
      </c>
      <c r="H185" s="6">
        <f t="shared" si="3"/>
        <v>27</v>
      </c>
    </row>
    <row r="186" spans="7:8">
      <c r="G186" s="5">
        <v>46207</v>
      </c>
      <c r="H186" s="6">
        <f t="shared" si="3"/>
        <v>27</v>
      </c>
    </row>
    <row r="187" spans="7:8">
      <c r="G187" s="5">
        <v>46208</v>
      </c>
      <c r="H187" s="6">
        <f t="shared" si="3"/>
        <v>27</v>
      </c>
    </row>
    <row r="188" spans="7:8">
      <c r="G188" s="5">
        <v>46209</v>
      </c>
      <c r="H188" s="6">
        <f t="shared" si="3"/>
        <v>28</v>
      </c>
    </row>
    <row r="189" spans="7:8">
      <c r="G189" s="5">
        <v>46210</v>
      </c>
      <c r="H189" s="6">
        <f t="shared" si="3"/>
        <v>28</v>
      </c>
    </row>
    <row r="190" spans="7:8">
      <c r="G190" s="5">
        <v>46211</v>
      </c>
      <c r="H190" s="6">
        <f t="shared" si="3"/>
        <v>28</v>
      </c>
    </row>
    <row r="191" spans="7:8">
      <c r="G191" s="5">
        <v>46212</v>
      </c>
      <c r="H191" s="6">
        <f t="shared" si="3"/>
        <v>28</v>
      </c>
    </row>
    <row r="192" spans="7:8">
      <c r="G192" s="5">
        <v>46213</v>
      </c>
      <c r="H192" s="6">
        <f t="shared" si="3"/>
        <v>28</v>
      </c>
    </row>
    <row r="193" spans="7:8">
      <c r="G193" s="5">
        <v>46214</v>
      </c>
      <c r="H193" s="6">
        <f t="shared" si="3"/>
        <v>28</v>
      </c>
    </row>
    <row r="194" spans="7:8">
      <c r="G194" s="5">
        <v>46215</v>
      </c>
      <c r="H194" s="6">
        <f t="shared" si="3"/>
        <v>28</v>
      </c>
    </row>
    <row r="195" spans="7:8">
      <c r="G195" s="5">
        <v>46216</v>
      </c>
      <c r="H195" s="6">
        <f t="shared" ref="H195:H258" si="4">_xlfn.ISOWEEKNUM(G195)</f>
        <v>29</v>
      </c>
    </row>
    <row r="196" spans="7:8">
      <c r="G196" s="5">
        <v>46217</v>
      </c>
      <c r="H196" s="6">
        <f t="shared" si="4"/>
        <v>29</v>
      </c>
    </row>
    <row r="197" spans="7:8">
      <c r="G197" s="5">
        <v>46218</v>
      </c>
      <c r="H197" s="6">
        <f t="shared" si="4"/>
        <v>29</v>
      </c>
    </row>
    <row r="198" spans="7:8">
      <c r="G198" s="5">
        <v>46219</v>
      </c>
      <c r="H198" s="6">
        <f t="shared" si="4"/>
        <v>29</v>
      </c>
    </row>
    <row r="199" spans="7:8">
      <c r="G199" s="5">
        <v>46220</v>
      </c>
      <c r="H199" s="6">
        <f t="shared" si="4"/>
        <v>29</v>
      </c>
    </row>
    <row r="200" spans="7:8">
      <c r="G200" s="5">
        <v>46221</v>
      </c>
      <c r="H200" s="6">
        <f t="shared" si="4"/>
        <v>29</v>
      </c>
    </row>
    <row r="201" spans="7:8">
      <c r="G201" s="5">
        <v>46222</v>
      </c>
      <c r="H201" s="6">
        <f t="shared" si="4"/>
        <v>29</v>
      </c>
    </row>
    <row r="202" spans="7:8">
      <c r="G202" s="5">
        <v>46223</v>
      </c>
      <c r="H202" s="6">
        <f t="shared" si="4"/>
        <v>30</v>
      </c>
    </row>
    <row r="203" spans="7:8">
      <c r="G203" s="5">
        <v>46224</v>
      </c>
      <c r="H203" s="6">
        <f t="shared" si="4"/>
        <v>30</v>
      </c>
    </row>
    <row r="204" spans="7:8">
      <c r="G204" s="5">
        <v>46225</v>
      </c>
      <c r="H204" s="6">
        <f t="shared" si="4"/>
        <v>30</v>
      </c>
    </row>
    <row r="205" spans="7:8">
      <c r="G205" s="5">
        <v>46226</v>
      </c>
      <c r="H205" s="6">
        <f t="shared" si="4"/>
        <v>30</v>
      </c>
    </row>
    <row r="206" spans="7:8">
      <c r="G206" s="5">
        <v>46227</v>
      </c>
      <c r="H206" s="6">
        <f t="shared" si="4"/>
        <v>30</v>
      </c>
    </row>
    <row r="207" spans="7:8">
      <c r="G207" s="5">
        <v>46228</v>
      </c>
      <c r="H207" s="6">
        <f t="shared" si="4"/>
        <v>30</v>
      </c>
    </row>
    <row r="208" spans="7:8">
      <c r="G208" s="5">
        <v>46229</v>
      </c>
      <c r="H208" s="6">
        <f t="shared" si="4"/>
        <v>30</v>
      </c>
    </row>
    <row r="209" spans="7:8">
      <c r="G209" s="5">
        <v>46230</v>
      </c>
      <c r="H209" s="6">
        <f t="shared" si="4"/>
        <v>31</v>
      </c>
    </row>
    <row r="210" spans="7:8">
      <c r="G210" s="5">
        <v>46231</v>
      </c>
      <c r="H210" s="6">
        <f t="shared" si="4"/>
        <v>31</v>
      </c>
    </row>
    <row r="211" spans="7:8">
      <c r="G211" s="5">
        <v>46232</v>
      </c>
      <c r="H211" s="6">
        <f t="shared" si="4"/>
        <v>31</v>
      </c>
    </row>
    <row r="212" spans="7:8">
      <c r="G212" s="5">
        <v>46233</v>
      </c>
      <c r="H212" s="6">
        <f t="shared" si="4"/>
        <v>31</v>
      </c>
    </row>
    <row r="213" spans="7:8">
      <c r="G213" s="5">
        <v>46234</v>
      </c>
      <c r="H213" s="6">
        <f t="shared" si="4"/>
        <v>31</v>
      </c>
    </row>
    <row r="214" spans="7:8">
      <c r="G214" s="5">
        <v>46235</v>
      </c>
      <c r="H214" s="6">
        <f t="shared" si="4"/>
        <v>31</v>
      </c>
    </row>
    <row r="215" spans="7:8">
      <c r="G215" s="5">
        <v>46236</v>
      </c>
      <c r="H215" s="6">
        <f t="shared" si="4"/>
        <v>31</v>
      </c>
    </row>
    <row r="216" spans="7:8">
      <c r="G216" s="5">
        <v>46237</v>
      </c>
      <c r="H216" s="6">
        <f t="shared" si="4"/>
        <v>32</v>
      </c>
    </row>
    <row r="217" spans="7:8">
      <c r="G217" s="5">
        <v>46238</v>
      </c>
      <c r="H217" s="6">
        <f t="shared" si="4"/>
        <v>32</v>
      </c>
    </row>
    <row r="218" spans="7:8">
      <c r="G218" s="5">
        <v>46239</v>
      </c>
      <c r="H218" s="6">
        <f t="shared" si="4"/>
        <v>32</v>
      </c>
    </row>
    <row r="219" spans="7:8">
      <c r="G219" s="5">
        <v>46240</v>
      </c>
      <c r="H219" s="6">
        <f t="shared" si="4"/>
        <v>32</v>
      </c>
    </row>
    <row r="220" spans="7:8">
      <c r="G220" s="5">
        <v>46241</v>
      </c>
      <c r="H220" s="6">
        <f t="shared" si="4"/>
        <v>32</v>
      </c>
    </row>
    <row r="221" spans="7:8">
      <c r="G221" s="5">
        <v>46242</v>
      </c>
      <c r="H221" s="6">
        <f t="shared" si="4"/>
        <v>32</v>
      </c>
    </row>
    <row r="222" spans="7:8">
      <c r="G222" s="5">
        <v>46243</v>
      </c>
      <c r="H222" s="6">
        <f t="shared" si="4"/>
        <v>32</v>
      </c>
    </row>
    <row r="223" spans="7:8">
      <c r="G223" s="5">
        <v>46244</v>
      </c>
      <c r="H223" s="6">
        <f t="shared" si="4"/>
        <v>33</v>
      </c>
    </row>
    <row r="224" spans="7:8">
      <c r="G224" s="5">
        <v>46245</v>
      </c>
      <c r="H224" s="6">
        <f t="shared" si="4"/>
        <v>33</v>
      </c>
    </row>
    <row r="225" spans="7:8">
      <c r="G225" s="5">
        <v>46246</v>
      </c>
      <c r="H225" s="6">
        <f t="shared" si="4"/>
        <v>33</v>
      </c>
    </row>
    <row r="226" spans="7:8">
      <c r="G226" s="5">
        <v>46247</v>
      </c>
      <c r="H226" s="6">
        <f t="shared" si="4"/>
        <v>33</v>
      </c>
    </row>
    <row r="227" spans="7:8">
      <c r="G227" s="5">
        <v>46248</v>
      </c>
      <c r="H227" s="6">
        <f t="shared" si="4"/>
        <v>33</v>
      </c>
    </row>
    <row r="228" spans="7:8">
      <c r="G228" s="5">
        <v>46249</v>
      </c>
      <c r="H228" s="6">
        <f t="shared" si="4"/>
        <v>33</v>
      </c>
    </row>
    <row r="229" spans="7:8">
      <c r="G229" s="5">
        <v>46250</v>
      </c>
      <c r="H229" s="6">
        <f t="shared" si="4"/>
        <v>33</v>
      </c>
    </row>
    <row r="230" spans="7:8">
      <c r="G230" s="5">
        <v>46251</v>
      </c>
      <c r="H230" s="6">
        <f t="shared" si="4"/>
        <v>34</v>
      </c>
    </row>
    <row r="231" spans="7:8">
      <c r="G231" s="5">
        <v>46252</v>
      </c>
      <c r="H231" s="6">
        <f t="shared" si="4"/>
        <v>34</v>
      </c>
    </row>
    <row r="232" spans="7:8">
      <c r="G232" s="5">
        <v>46253</v>
      </c>
      <c r="H232" s="6">
        <f t="shared" si="4"/>
        <v>34</v>
      </c>
    </row>
    <row r="233" spans="7:8">
      <c r="G233" s="5">
        <v>46254</v>
      </c>
      <c r="H233" s="6">
        <f t="shared" si="4"/>
        <v>34</v>
      </c>
    </row>
    <row r="234" spans="7:8">
      <c r="G234" s="5">
        <v>46255</v>
      </c>
      <c r="H234" s="6">
        <f t="shared" si="4"/>
        <v>34</v>
      </c>
    </row>
    <row r="235" spans="7:8">
      <c r="G235" s="5">
        <v>46256</v>
      </c>
      <c r="H235" s="6">
        <f t="shared" si="4"/>
        <v>34</v>
      </c>
    </row>
    <row r="236" spans="7:8">
      <c r="G236" s="5">
        <v>46257</v>
      </c>
      <c r="H236" s="6">
        <f t="shared" si="4"/>
        <v>34</v>
      </c>
    </row>
    <row r="237" spans="7:8">
      <c r="G237" s="5">
        <v>46258</v>
      </c>
      <c r="H237" s="6">
        <f t="shared" si="4"/>
        <v>35</v>
      </c>
    </row>
    <row r="238" spans="7:8">
      <c r="G238" s="5">
        <v>46259</v>
      </c>
      <c r="H238" s="6">
        <f t="shared" si="4"/>
        <v>35</v>
      </c>
    </row>
    <row r="239" spans="7:8">
      <c r="G239" s="5">
        <v>46260</v>
      </c>
      <c r="H239" s="6">
        <f t="shared" si="4"/>
        <v>35</v>
      </c>
    </row>
    <row r="240" spans="7:8">
      <c r="G240" s="5">
        <v>46261</v>
      </c>
      <c r="H240" s="6">
        <f t="shared" si="4"/>
        <v>35</v>
      </c>
    </row>
    <row r="241" spans="7:8">
      <c r="G241" s="5">
        <v>46262</v>
      </c>
      <c r="H241" s="6">
        <f t="shared" si="4"/>
        <v>35</v>
      </c>
    </row>
    <row r="242" spans="7:8">
      <c r="G242" s="5">
        <v>46263</v>
      </c>
      <c r="H242" s="6">
        <f t="shared" si="4"/>
        <v>35</v>
      </c>
    </row>
    <row r="243" spans="7:8">
      <c r="G243" s="5">
        <v>46264</v>
      </c>
      <c r="H243" s="6">
        <f t="shared" si="4"/>
        <v>35</v>
      </c>
    </row>
    <row r="244" spans="7:8">
      <c r="G244" s="5">
        <v>46265</v>
      </c>
      <c r="H244" s="6">
        <f t="shared" si="4"/>
        <v>36</v>
      </c>
    </row>
    <row r="245" spans="7:8">
      <c r="G245" s="5">
        <v>46266</v>
      </c>
      <c r="H245" s="6">
        <f t="shared" si="4"/>
        <v>36</v>
      </c>
    </row>
    <row r="246" spans="7:8">
      <c r="G246" s="5">
        <v>46267</v>
      </c>
      <c r="H246" s="6">
        <f t="shared" si="4"/>
        <v>36</v>
      </c>
    </row>
    <row r="247" spans="7:8">
      <c r="G247" s="5">
        <v>46268</v>
      </c>
      <c r="H247" s="6">
        <f t="shared" si="4"/>
        <v>36</v>
      </c>
    </row>
    <row r="248" spans="7:8">
      <c r="G248" s="5">
        <v>46269</v>
      </c>
      <c r="H248" s="6">
        <f t="shared" si="4"/>
        <v>36</v>
      </c>
    </row>
    <row r="249" spans="7:8">
      <c r="G249" s="5">
        <v>46270</v>
      </c>
      <c r="H249" s="6">
        <f t="shared" si="4"/>
        <v>36</v>
      </c>
    </row>
    <row r="250" spans="7:8">
      <c r="G250" s="5">
        <v>46271</v>
      </c>
      <c r="H250" s="6">
        <f t="shared" si="4"/>
        <v>36</v>
      </c>
    </row>
    <row r="251" spans="7:8">
      <c r="G251" s="5">
        <v>46272</v>
      </c>
      <c r="H251" s="6">
        <f t="shared" si="4"/>
        <v>37</v>
      </c>
    </row>
    <row r="252" spans="7:8">
      <c r="G252" s="5">
        <v>46273</v>
      </c>
      <c r="H252" s="6">
        <f t="shared" si="4"/>
        <v>37</v>
      </c>
    </row>
    <row r="253" spans="7:8">
      <c r="G253" s="5">
        <v>46274</v>
      </c>
      <c r="H253" s="6">
        <f t="shared" si="4"/>
        <v>37</v>
      </c>
    </row>
    <row r="254" spans="7:8">
      <c r="G254" s="5">
        <v>46275</v>
      </c>
      <c r="H254" s="6">
        <f t="shared" si="4"/>
        <v>37</v>
      </c>
    </row>
    <row r="255" spans="7:8">
      <c r="G255" s="5">
        <v>46276</v>
      </c>
      <c r="H255" s="6">
        <f t="shared" si="4"/>
        <v>37</v>
      </c>
    </row>
    <row r="256" spans="7:8">
      <c r="G256" s="5">
        <v>46277</v>
      </c>
      <c r="H256" s="6">
        <f t="shared" si="4"/>
        <v>37</v>
      </c>
    </row>
    <row r="257" spans="7:8">
      <c r="G257" s="5">
        <v>46278</v>
      </c>
      <c r="H257" s="6">
        <f t="shared" si="4"/>
        <v>37</v>
      </c>
    </row>
    <row r="258" spans="7:8">
      <c r="G258" s="5">
        <v>46279</v>
      </c>
      <c r="H258" s="6">
        <f t="shared" si="4"/>
        <v>38</v>
      </c>
    </row>
    <row r="259" spans="7:8">
      <c r="G259" s="5">
        <v>46280</v>
      </c>
      <c r="H259" s="6">
        <f t="shared" ref="H259:H322" si="5">_xlfn.ISOWEEKNUM(G259)</f>
        <v>38</v>
      </c>
    </row>
    <row r="260" spans="7:8">
      <c r="G260" s="5">
        <v>46281</v>
      </c>
      <c r="H260" s="6">
        <f t="shared" si="5"/>
        <v>38</v>
      </c>
    </row>
    <row r="261" spans="7:8">
      <c r="G261" s="5">
        <v>46282</v>
      </c>
      <c r="H261" s="6">
        <f t="shared" si="5"/>
        <v>38</v>
      </c>
    </row>
    <row r="262" spans="7:8">
      <c r="G262" s="5">
        <v>46283</v>
      </c>
      <c r="H262" s="6">
        <f t="shared" si="5"/>
        <v>38</v>
      </c>
    </row>
    <row r="263" spans="7:8">
      <c r="G263" s="5">
        <v>46284</v>
      </c>
      <c r="H263" s="6">
        <f t="shared" si="5"/>
        <v>38</v>
      </c>
    </row>
    <row r="264" spans="7:8">
      <c r="G264" s="5">
        <v>46285</v>
      </c>
      <c r="H264" s="6">
        <f t="shared" si="5"/>
        <v>38</v>
      </c>
    </row>
    <row r="265" spans="7:8">
      <c r="G265" s="5">
        <v>46286</v>
      </c>
      <c r="H265" s="6">
        <f t="shared" si="5"/>
        <v>39</v>
      </c>
    </row>
    <row r="266" spans="7:8">
      <c r="G266" s="5">
        <v>46287</v>
      </c>
      <c r="H266" s="6">
        <f t="shared" si="5"/>
        <v>39</v>
      </c>
    </row>
    <row r="267" spans="7:8">
      <c r="G267" s="5">
        <v>46288</v>
      </c>
      <c r="H267" s="6">
        <f t="shared" si="5"/>
        <v>39</v>
      </c>
    </row>
    <row r="268" spans="7:8">
      <c r="G268" s="5">
        <v>46289</v>
      </c>
      <c r="H268" s="6">
        <f t="shared" si="5"/>
        <v>39</v>
      </c>
    </row>
    <row r="269" spans="7:8">
      <c r="G269" s="5">
        <v>46290</v>
      </c>
      <c r="H269" s="6">
        <f t="shared" si="5"/>
        <v>39</v>
      </c>
    </row>
    <row r="270" spans="7:8">
      <c r="G270" s="5">
        <v>46291</v>
      </c>
      <c r="H270" s="6">
        <f t="shared" si="5"/>
        <v>39</v>
      </c>
    </row>
    <row r="271" spans="7:8">
      <c r="G271" s="5">
        <v>46292</v>
      </c>
      <c r="H271" s="6">
        <f t="shared" si="5"/>
        <v>39</v>
      </c>
    </row>
    <row r="272" spans="7:8">
      <c r="G272" s="5">
        <v>46293</v>
      </c>
      <c r="H272" s="6">
        <f t="shared" si="5"/>
        <v>40</v>
      </c>
    </row>
    <row r="273" spans="7:8">
      <c r="G273" s="5">
        <v>46294</v>
      </c>
      <c r="H273" s="6">
        <f t="shared" si="5"/>
        <v>40</v>
      </c>
    </row>
    <row r="274" spans="7:8">
      <c r="G274" s="5">
        <v>46295</v>
      </c>
      <c r="H274" s="6">
        <f t="shared" si="5"/>
        <v>40</v>
      </c>
    </row>
    <row r="275" spans="7:8">
      <c r="G275" s="5">
        <v>46296</v>
      </c>
      <c r="H275" s="6">
        <f t="shared" si="5"/>
        <v>40</v>
      </c>
    </row>
    <row r="276" spans="7:8">
      <c r="G276" s="5">
        <v>46297</v>
      </c>
      <c r="H276" s="6">
        <f t="shared" si="5"/>
        <v>40</v>
      </c>
    </row>
    <row r="277" spans="7:8">
      <c r="G277" s="5">
        <v>46298</v>
      </c>
      <c r="H277" s="6">
        <f t="shared" si="5"/>
        <v>40</v>
      </c>
    </row>
    <row r="278" spans="7:8">
      <c r="G278" s="5">
        <v>46299</v>
      </c>
      <c r="H278" s="6">
        <f t="shared" si="5"/>
        <v>40</v>
      </c>
    </row>
    <row r="279" spans="7:8">
      <c r="G279" s="5">
        <v>46300</v>
      </c>
      <c r="H279" s="6">
        <f t="shared" si="5"/>
        <v>41</v>
      </c>
    </row>
    <row r="280" spans="7:8">
      <c r="G280" s="5">
        <v>46301</v>
      </c>
      <c r="H280" s="6">
        <f t="shared" si="5"/>
        <v>41</v>
      </c>
    </row>
    <row r="281" spans="7:8">
      <c r="G281" s="5">
        <v>46302</v>
      </c>
      <c r="H281" s="6">
        <f t="shared" si="5"/>
        <v>41</v>
      </c>
    </row>
    <row r="282" spans="7:8">
      <c r="G282" s="5">
        <v>46303</v>
      </c>
      <c r="H282" s="6">
        <f t="shared" si="5"/>
        <v>41</v>
      </c>
    </row>
    <row r="283" spans="7:8">
      <c r="G283" s="5">
        <v>46304</v>
      </c>
      <c r="H283" s="6">
        <f t="shared" si="5"/>
        <v>41</v>
      </c>
    </row>
    <row r="284" spans="7:8">
      <c r="G284" s="5">
        <v>46305</v>
      </c>
      <c r="H284" s="6">
        <f t="shared" si="5"/>
        <v>41</v>
      </c>
    </row>
    <row r="285" spans="7:8">
      <c r="G285" s="5">
        <v>46306</v>
      </c>
      <c r="H285" s="6">
        <f t="shared" si="5"/>
        <v>41</v>
      </c>
    </row>
    <row r="286" spans="7:8">
      <c r="G286" s="5">
        <v>46307</v>
      </c>
      <c r="H286" s="6">
        <f t="shared" si="5"/>
        <v>42</v>
      </c>
    </row>
    <row r="287" spans="7:8">
      <c r="G287" s="5">
        <v>46308</v>
      </c>
      <c r="H287" s="6">
        <f t="shared" si="5"/>
        <v>42</v>
      </c>
    </row>
    <row r="288" spans="7:8">
      <c r="G288" s="5">
        <v>46309</v>
      </c>
      <c r="H288" s="6">
        <f t="shared" si="5"/>
        <v>42</v>
      </c>
    </row>
    <row r="289" spans="7:8">
      <c r="G289" s="5">
        <v>46310</v>
      </c>
      <c r="H289" s="6">
        <f t="shared" si="5"/>
        <v>42</v>
      </c>
    </row>
    <row r="290" spans="7:8">
      <c r="G290" s="5">
        <v>46311</v>
      </c>
      <c r="H290" s="6">
        <f t="shared" si="5"/>
        <v>42</v>
      </c>
    </row>
    <row r="291" spans="7:8">
      <c r="G291" s="5">
        <v>46312</v>
      </c>
      <c r="H291" s="6">
        <f t="shared" si="5"/>
        <v>42</v>
      </c>
    </row>
    <row r="292" spans="7:8">
      <c r="G292" s="5">
        <v>46313</v>
      </c>
      <c r="H292" s="6">
        <f t="shared" si="5"/>
        <v>42</v>
      </c>
    </row>
    <row r="293" spans="7:8">
      <c r="G293" s="5">
        <v>46314</v>
      </c>
      <c r="H293" s="6">
        <f t="shared" si="5"/>
        <v>43</v>
      </c>
    </row>
    <row r="294" spans="7:8">
      <c r="G294" s="5">
        <v>46315</v>
      </c>
      <c r="H294" s="6">
        <f t="shared" si="5"/>
        <v>43</v>
      </c>
    </row>
    <row r="295" spans="7:8">
      <c r="G295" s="5">
        <v>46316</v>
      </c>
      <c r="H295" s="6">
        <f t="shared" si="5"/>
        <v>43</v>
      </c>
    </row>
    <row r="296" spans="7:8">
      <c r="G296" s="5">
        <v>46317</v>
      </c>
      <c r="H296" s="6">
        <f t="shared" si="5"/>
        <v>43</v>
      </c>
    </row>
    <row r="297" spans="7:8">
      <c r="G297" s="5">
        <v>46318</v>
      </c>
      <c r="H297" s="6">
        <f t="shared" si="5"/>
        <v>43</v>
      </c>
    </row>
    <row r="298" spans="7:8">
      <c r="G298" s="5">
        <v>46319</v>
      </c>
      <c r="H298" s="6">
        <f t="shared" si="5"/>
        <v>43</v>
      </c>
    </row>
    <row r="299" spans="7:8">
      <c r="G299" s="5">
        <v>46320</v>
      </c>
      <c r="H299" s="6">
        <f t="shared" si="5"/>
        <v>43</v>
      </c>
    </row>
    <row r="300" spans="7:8">
      <c r="G300" s="5">
        <v>46321</v>
      </c>
      <c r="H300" s="6">
        <f t="shared" si="5"/>
        <v>44</v>
      </c>
    </row>
    <row r="301" spans="7:8">
      <c r="G301" s="5">
        <v>46322</v>
      </c>
      <c r="H301" s="6">
        <f t="shared" si="5"/>
        <v>44</v>
      </c>
    </row>
    <row r="302" spans="7:8">
      <c r="G302" s="5">
        <v>46323</v>
      </c>
      <c r="H302" s="6">
        <f t="shared" si="5"/>
        <v>44</v>
      </c>
    </row>
    <row r="303" spans="7:8">
      <c r="G303" s="5">
        <v>46324</v>
      </c>
      <c r="H303" s="6">
        <f t="shared" si="5"/>
        <v>44</v>
      </c>
    </row>
    <row r="304" spans="7:8">
      <c r="G304" s="5">
        <v>46325</v>
      </c>
      <c r="H304" s="6">
        <f t="shared" si="5"/>
        <v>44</v>
      </c>
    </row>
    <row r="305" spans="7:8">
      <c r="G305" s="5">
        <v>46326</v>
      </c>
      <c r="H305" s="6">
        <f t="shared" si="5"/>
        <v>44</v>
      </c>
    </row>
    <row r="306" spans="7:8">
      <c r="G306" s="5">
        <v>46327</v>
      </c>
      <c r="H306" s="6">
        <f t="shared" si="5"/>
        <v>44</v>
      </c>
    </row>
    <row r="307" spans="7:8">
      <c r="G307" s="5">
        <v>46328</v>
      </c>
      <c r="H307" s="6">
        <f t="shared" si="5"/>
        <v>45</v>
      </c>
    </row>
    <row r="308" spans="7:8">
      <c r="G308" s="5">
        <v>46329</v>
      </c>
      <c r="H308" s="6">
        <f t="shared" si="5"/>
        <v>45</v>
      </c>
    </row>
    <row r="309" spans="7:8">
      <c r="G309" s="5">
        <v>46330</v>
      </c>
      <c r="H309" s="6">
        <f t="shared" si="5"/>
        <v>45</v>
      </c>
    </row>
    <row r="310" spans="7:8">
      <c r="G310" s="5">
        <v>46331</v>
      </c>
      <c r="H310" s="6">
        <f t="shared" si="5"/>
        <v>45</v>
      </c>
    </row>
    <row r="311" spans="7:8">
      <c r="G311" s="5">
        <v>46332</v>
      </c>
      <c r="H311" s="6">
        <f t="shared" si="5"/>
        <v>45</v>
      </c>
    </row>
    <row r="312" spans="7:8">
      <c r="G312" s="5">
        <v>46333</v>
      </c>
      <c r="H312" s="6">
        <f t="shared" si="5"/>
        <v>45</v>
      </c>
    </row>
    <row r="313" spans="7:8">
      <c r="G313" s="5">
        <v>46334</v>
      </c>
      <c r="H313" s="6">
        <f t="shared" si="5"/>
        <v>45</v>
      </c>
    </row>
    <row r="314" spans="7:8">
      <c r="G314" s="5">
        <v>46335</v>
      </c>
      <c r="H314" s="6">
        <f t="shared" si="5"/>
        <v>46</v>
      </c>
    </row>
    <row r="315" spans="7:8">
      <c r="G315" s="5">
        <v>46336</v>
      </c>
      <c r="H315" s="6">
        <f t="shared" si="5"/>
        <v>46</v>
      </c>
    </row>
    <row r="316" spans="7:8">
      <c r="G316" s="5">
        <v>46337</v>
      </c>
      <c r="H316" s="6">
        <f t="shared" si="5"/>
        <v>46</v>
      </c>
    </row>
    <row r="317" spans="7:8">
      <c r="G317" s="5">
        <v>46338</v>
      </c>
      <c r="H317" s="6">
        <f t="shared" si="5"/>
        <v>46</v>
      </c>
    </row>
    <row r="318" spans="7:8">
      <c r="G318" s="5">
        <v>46339</v>
      </c>
      <c r="H318" s="6">
        <f t="shared" si="5"/>
        <v>46</v>
      </c>
    </row>
    <row r="319" spans="7:8">
      <c r="G319" s="5">
        <v>46340</v>
      </c>
      <c r="H319" s="6">
        <f t="shared" si="5"/>
        <v>46</v>
      </c>
    </row>
    <row r="320" spans="7:8">
      <c r="G320" s="5">
        <v>46341</v>
      </c>
      <c r="H320" s="6">
        <f t="shared" si="5"/>
        <v>46</v>
      </c>
    </row>
    <row r="321" spans="7:8">
      <c r="G321" s="5">
        <v>46342</v>
      </c>
      <c r="H321" s="6">
        <f t="shared" si="5"/>
        <v>47</v>
      </c>
    </row>
    <row r="322" spans="7:8">
      <c r="G322" s="5">
        <v>46343</v>
      </c>
      <c r="H322" s="6">
        <f t="shared" si="5"/>
        <v>47</v>
      </c>
    </row>
    <row r="323" spans="7:8">
      <c r="G323" s="5">
        <v>46344</v>
      </c>
      <c r="H323" s="6">
        <f t="shared" ref="H323:H366" si="6">_xlfn.ISOWEEKNUM(G323)</f>
        <v>47</v>
      </c>
    </row>
    <row r="324" spans="7:8">
      <c r="G324" s="5">
        <v>46345</v>
      </c>
      <c r="H324" s="6">
        <f t="shared" si="6"/>
        <v>47</v>
      </c>
    </row>
    <row r="325" spans="7:8">
      <c r="G325" s="5">
        <v>46346</v>
      </c>
      <c r="H325" s="6">
        <f t="shared" si="6"/>
        <v>47</v>
      </c>
    </row>
    <row r="326" spans="7:8">
      <c r="G326" s="5">
        <v>46347</v>
      </c>
      <c r="H326" s="6">
        <f t="shared" si="6"/>
        <v>47</v>
      </c>
    </row>
    <row r="327" spans="7:8">
      <c r="G327" s="5">
        <v>46348</v>
      </c>
      <c r="H327" s="6">
        <f t="shared" si="6"/>
        <v>47</v>
      </c>
    </row>
    <row r="328" spans="7:8">
      <c r="G328" s="5">
        <v>46349</v>
      </c>
      <c r="H328" s="6">
        <f t="shared" si="6"/>
        <v>48</v>
      </c>
    </row>
    <row r="329" spans="7:8">
      <c r="G329" s="5">
        <v>46350</v>
      </c>
      <c r="H329" s="6">
        <f t="shared" si="6"/>
        <v>48</v>
      </c>
    </row>
    <row r="330" spans="7:8">
      <c r="G330" s="5">
        <v>46351</v>
      </c>
      <c r="H330" s="6">
        <f t="shared" si="6"/>
        <v>48</v>
      </c>
    </row>
    <row r="331" spans="7:8">
      <c r="G331" s="5">
        <v>46352</v>
      </c>
      <c r="H331" s="6">
        <f t="shared" si="6"/>
        <v>48</v>
      </c>
    </row>
    <row r="332" spans="7:8">
      <c r="G332" s="5">
        <v>46353</v>
      </c>
      <c r="H332" s="6">
        <f t="shared" si="6"/>
        <v>48</v>
      </c>
    </row>
    <row r="333" spans="7:8">
      <c r="G333" s="5">
        <v>46354</v>
      </c>
      <c r="H333" s="6">
        <f t="shared" si="6"/>
        <v>48</v>
      </c>
    </row>
    <row r="334" spans="7:8">
      <c r="G334" s="5">
        <v>46355</v>
      </c>
      <c r="H334" s="6">
        <f t="shared" si="6"/>
        <v>48</v>
      </c>
    </row>
    <row r="335" spans="7:8">
      <c r="G335" s="5">
        <v>46356</v>
      </c>
      <c r="H335" s="6">
        <f t="shared" si="6"/>
        <v>49</v>
      </c>
    </row>
    <row r="336" spans="7:8">
      <c r="G336" s="5">
        <v>46357</v>
      </c>
      <c r="H336" s="6">
        <f t="shared" si="6"/>
        <v>49</v>
      </c>
    </row>
    <row r="337" spans="7:8">
      <c r="G337" s="5">
        <v>46358</v>
      </c>
      <c r="H337" s="6">
        <f t="shared" si="6"/>
        <v>49</v>
      </c>
    </row>
    <row r="338" spans="7:8">
      <c r="G338" s="5">
        <v>46359</v>
      </c>
      <c r="H338" s="6">
        <f t="shared" si="6"/>
        <v>49</v>
      </c>
    </row>
    <row r="339" spans="7:8">
      <c r="G339" s="5">
        <v>46360</v>
      </c>
      <c r="H339" s="6">
        <f t="shared" si="6"/>
        <v>49</v>
      </c>
    </row>
    <row r="340" spans="7:8">
      <c r="G340" s="5">
        <v>46361</v>
      </c>
      <c r="H340" s="6">
        <f t="shared" si="6"/>
        <v>49</v>
      </c>
    </row>
    <row r="341" spans="7:8">
      <c r="G341" s="5">
        <v>46362</v>
      </c>
      <c r="H341" s="6">
        <f t="shared" si="6"/>
        <v>49</v>
      </c>
    </row>
    <row r="342" spans="7:8">
      <c r="G342" s="5">
        <v>46363</v>
      </c>
      <c r="H342" s="6">
        <f t="shared" si="6"/>
        <v>50</v>
      </c>
    </row>
    <row r="343" spans="7:8">
      <c r="G343" s="5">
        <v>46364</v>
      </c>
      <c r="H343" s="6">
        <f t="shared" si="6"/>
        <v>50</v>
      </c>
    </row>
    <row r="344" spans="7:8">
      <c r="G344" s="5">
        <v>46365</v>
      </c>
      <c r="H344" s="6">
        <f t="shared" si="6"/>
        <v>50</v>
      </c>
    </row>
    <row r="345" spans="7:8">
      <c r="G345" s="5">
        <v>46366</v>
      </c>
      <c r="H345" s="6">
        <f t="shared" si="6"/>
        <v>50</v>
      </c>
    </row>
    <row r="346" spans="7:8">
      <c r="G346" s="5">
        <v>46367</v>
      </c>
      <c r="H346" s="6">
        <f t="shared" si="6"/>
        <v>50</v>
      </c>
    </row>
    <row r="347" spans="7:8">
      <c r="G347" s="5">
        <v>46368</v>
      </c>
      <c r="H347" s="6">
        <f t="shared" si="6"/>
        <v>50</v>
      </c>
    </row>
    <row r="348" spans="7:8">
      <c r="G348" s="5">
        <v>46369</v>
      </c>
      <c r="H348" s="6">
        <f t="shared" si="6"/>
        <v>50</v>
      </c>
    </row>
    <row r="349" spans="7:8">
      <c r="G349" s="5">
        <v>46370</v>
      </c>
      <c r="H349" s="6">
        <f t="shared" si="6"/>
        <v>51</v>
      </c>
    </row>
    <row r="350" spans="7:8">
      <c r="G350" s="5">
        <v>46371</v>
      </c>
      <c r="H350" s="6">
        <f t="shared" si="6"/>
        <v>51</v>
      </c>
    </row>
    <row r="351" spans="7:8">
      <c r="G351" s="5">
        <v>46372</v>
      </c>
      <c r="H351" s="6">
        <f t="shared" si="6"/>
        <v>51</v>
      </c>
    </row>
    <row r="352" spans="7:8">
      <c r="G352" s="5">
        <v>46373</v>
      </c>
      <c r="H352" s="6">
        <f t="shared" si="6"/>
        <v>51</v>
      </c>
    </row>
    <row r="353" spans="7:8">
      <c r="G353" s="5">
        <v>46374</v>
      </c>
      <c r="H353" s="6">
        <f t="shared" si="6"/>
        <v>51</v>
      </c>
    </row>
    <row r="354" spans="7:8">
      <c r="G354" s="5">
        <v>46375</v>
      </c>
      <c r="H354" s="6">
        <f t="shared" si="6"/>
        <v>51</v>
      </c>
    </row>
    <row r="355" spans="7:8">
      <c r="G355" s="5">
        <v>46376</v>
      </c>
      <c r="H355" s="6">
        <f t="shared" si="6"/>
        <v>51</v>
      </c>
    </row>
    <row r="356" spans="7:8">
      <c r="G356" s="5">
        <v>46377</v>
      </c>
      <c r="H356" s="6">
        <f t="shared" si="6"/>
        <v>52</v>
      </c>
    </row>
    <row r="357" spans="7:8">
      <c r="G357" s="5">
        <v>46378</v>
      </c>
      <c r="H357" s="6">
        <f t="shared" si="6"/>
        <v>52</v>
      </c>
    </row>
    <row r="358" spans="7:8">
      <c r="G358" s="5">
        <v>46379</v>
      </c>
      <c r="H358" s="6">
        <f t="shared" si="6"/>
        <v>52</v>
      </c>
    </row>
    <row r="359" spans="7:8">
      <c r="G359" s="5">
        <v>46380</v>
      </c>
      <c r="H359" s="6">
        <f t="shared" si="6"/>
        <v>52</v>
      </c>
    </row>
    <row r="360" spans="7:8">
      <c r="G360" s="5">
        <v>46381</v>
      </c>
      <c r="H360" s="6">
        <f t="shared" si="6"/>
        <v>52</v>
      </c>
    </row>
    <row r="361" spans="7:8">
      <c r="G361" s="5">
        <v>46382</v>
      </c>
      <c r="H361" s="6">
        <f t="shared" si="6"/>
        <v>52</v>
      </c>
    </row>
    <row r="362" spans="7:8">
      <c r="G362" s="5">
        <v>46383</v>
      </c>
      <c r="H362" s="6">
        <f t="shared" si="6"/>
        <v>52</v>
      </c>
    </row>
    <row r="363" spans="7:8">
      <c r="G363" s="5">
        <v>46384</v>
      </c>
      <c r="H363" s="6">
        <f t="shared" si="6"/>
        <v>53</v>
      </c>
    </row>
    <row r="364" spans="7:8">
      <c r="G364" s="5">
        <v>46385</v>
      </c>
      <c r="H364" s="6">
        <f t="shared" si="6"/>
        <v>53</v>
      </c>
    </row>
    <row r="365" spans="7:8">
      <c r="G365" s="5">
        <v>46386</v>
      </c>
      <c r="H365" s="6">
        <f t="shared" si="6"/>
        <v>53</v>
      </c>
    </row>
    <row r="366" spans="7:8">
      <c r="G366" s="5">
        <v>46387</v>
      </c>
      <c r="H366" s="6">
        <f t="shared" si="6"/>
        <v>53</v>
      </c>
    </row>
    <row r="367" spans="7:8">
      <c r="G367" s="5"/>
      <c r="H367" s="7"/>
    </row>
  </sheetData>
  <sheetProtection algorithmName="SHA-512" hashValue="mt79Q+3r/a2Mle7yixU6OObwZDVSj1l6d95LHJLY4SfWGzmCu8c6oc+66HNCEbRtTbflAYvZHV2dJJejXqIS+w==" saltValue="vb/Rq7wPhcqc9uRpCwVLpA==" spinCount="100000" sheet="1" formatCells="0" formatColumns="0" formatRows="0" insertColumns="0" insertRows="0" insertHyperlinks="0" deleteColumns="0" deleteRows="0" sort="0" autoFilter="0" pivotTables="0"/>
  <conditionalFormatting sqref="P44">
    <cfRule type="cellIs" dxfId="27" priority="1" operator="between">
      <formula>$M$46</formula>
      <formula>$N$46</formula>
    </cfRule>
  </conditionalFormatting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66D7F-9B52-482D-802C-9AA0D131EF18}">
  <dimension ref="A1:I917"/>
  <sheetViews>
    <sheetView topLeftCell="A76" zoomScale="60" workbookViewId="0">
      <selection activeCell="J92" sqref="J92"/>
    </sheetView>
  </sheetViews>
  <sheetFormatPr defaultColWidth="9.140625" defaultRowHeight="14.45"/>
  <cols>
    <col min="1" max="1" width="58.7109375" bestFit="1" customWidth="1"/>
    <col min="2" max="2" width="19.140625" bestFit="1" customWidth="1"/>
    <col min="3" max="3" width="31.140625" customWidth="1"/>
    <col min="4" max="4" width="46.42578125" bestFit="1" customWidth="1"/>
    <col min="5" max="5" width="23.5703125" bestFit="1" customWidth="1"/>
    <col min="6" max="6" width="38.28515625" bestFit="1" customWidth="1"/>
    <col min="7" max="7" width="11.85546875" bestFit="1" customWidth="1"/>
  </cols>
  <sheetData>
    <row r="1" spans="1:7">
      <c r="A1" t="s">
        <v>119</v>
      </c>
      <c r="B1" s="34" t="s">
        <v>5</v>
      </c>
      <c r="C1" s="35" t="s">
        <v>120</v>
      </c>
      <c r="D1" s="34" t="s">
        <v>121</v>
      </c>
      <c r="E1" t="s">
        <v>122</v>
      </c>
      <c r="F1" t="s">
        <v>123</v>
      </c>
      <c r="G1" t="s">
        <v>124</v>
      </c>
    </row>
    <row r="2" spans="1:7">
      <c r="A2" t="str">
        <f>B2&amp;Table4[[#This Row],[Tipo Servicio]]</f>
        <v>COAHUILACOMPRA TANQUE CO2 - BARRIL</v>
      </c>
      <c r="B2" t="s">
        <v>72</v>
      </c>
      <c r="C2" t="s">
        <v>125</v>
      </c>
      <c r="D2" t="s">
        <v>126</v>
      </c>
      <c r="F2" s="56" t="s">
        <v>28</v>
      </c>
      <c r="G2" t="str">
        <f>_xlfn.XLOOKUP(Table4[[#This Row],[GZ]],'[1]BASE TRADE'!$R:$R,'[1]BASE TRADE'!$Q:$Q)</f>
        <v>2. Northeast</v>
      </c>
    </row>
    <row r="3" spans="1:7">
      <c r="A3" t="str">
        <f>B3&amp;Table4[[#This Row],[Tipo Servicio]]</f>
        <v>COAHUILAMTTO CORRECTIVO RUTA - MAQUINA HIELO</v>
      </c>
      <c r="B3" t="s">
        <v>72</v>
      </c>
      <c r="C3" t="s">
        <v>127</v>
      </c>
      <c r="D3" t="s">
        <v>128</v>
      </c>
      <c r="F3" s="56" t="s">
        <v>129</v>
      </c>
      <c r="G3" t="str">
        <f>_xlfn.XLOOKUP(Table4[[#This Row],[GZ]],'[1]BASE TRADE'!$R:$R,'[1]BASE TRADE'!$Q:$Q)</f>
        <v>2. Northeast</v>
      </c>
    </row>
    <row r="4" spans="1:7">
      <c r="A4" t="str">
        <f>B4&amp;Table4[[#This Row],[Tipo Servicio]]</f>
        <v>COAHUILAMTTO CORRECTIVO RUTA - BARRIL</v>
      </c>
      <c r="B4" t="s">
        <v>72</v>
      </c>
      <c r="C4" t="s">
        <v>130</v>
      </c>
      <c r="D4" t="s">
        <v>47</v>
      </c>
      <c r="F4" s="56" t="s">
        <v>29</v>
      </c>
      <c r="G4" t="str">
        <f>_xlfn.XLOOKUP(Table4[[#This Row],[GZ]],'[1]BASE TRADE'!$R:$R,'[1]BASE TRADE'!$Q:$Q)</f>
        <v>2. Northeast</v>
      </c>
    </row>
    <row r="5" spans="1:7">
      <c r="A5" t="str">
        <f>B5&amp;Table4[[#This Row],[Tipo Servicio]]</f>
        <v>COAHUILAMTTO CORRECTIVO RUTA - ENFRIADOR</v>
      </c>
      <c r="B5" t="s">
        <v>72</v>
      </c>
      <c r="C5" t="s">
        <v>131</v>
      </c>
      <c r="D5" t="s">
        <v>132</v>
      </c>
      <c r="E5" t="s">
        <v>133</v>
      </c>
      <c r="F5" s="56" t="s">
        <v>134</v>
      </c>
      <c r="G5" t="str">
        <f>_xlfn.XLOOKUP(Table4[[#This Row],[GZ]],'[1]BASE TRADE'!$R:$R,'[1]BASE TRADE'!$Q:$Q)</f>
        <v>2. Northeast</v>
      </c>
    </row>
    <row r="6" spans="1:7">
      <c r="A6" t="str">
        <f>B6&amp;Table4[[#This Row],[Tipo Servicio]]</f>
        <v>COAHUILAMTTO CORRECTIVO PISO - ENFRIADOR</v>
      </c>
      <c r="B6" t="s">
        <v>72</v>
      </c>
      <c r="C6" t="s">
        <v>131</v>
      </c>
      <c r="D6" t="s">
        <v>132</v>
      </c>
      <c r="E6" t="s">
        <v>135</v>
      </c>
      <c r="F6" s="56" t="s">
        <v>136</v>
      </c>
      <c r="G6" t="str">
        <f>_xlfn.XLOOKUP(Table4[[#This Row],[GZ]],'[1]BASE TRADE'!$R:$R,'[1]BASE TRADE'!$Q:$Q)</f>
        <v>2. Northeast</v>
      </c>
    </row>
    <row r="7" spans="1:7">
      <c r="A7" t="str">
        <f>B7&amp;Table4[[#This Row],[Tipo Servicio]]</f>
        <v>COAHUILAINSTALACION - ENFRIADOR</v>
      </c>
      <c r="B7" t="s">
        <v>72</v>
      </c>
      <c r="C7" t="s">
        <v>137</v>
      </c>
      <c r="D7" t="s">
        <v>45</v>
      </c>
      <c r="F7" s="56" t="s">
        <v>32</v>
      </c>
      <c r="G7" t="str">
        <f>_xlfn.XLOOKUP(Table4[[#This Row],[GZ]],'[1]BASE TRADE'!$R:$R,'[1]BASE TRADE'!$Q:$Q)</f>
        <v>2. Northeast</v>
      </c>
    </row>
    <row r="8" spans="1:7">
      <c r="A8" t="str">
        <f>B8&amp;Table4[[#This Row],[Tipo Servicio]]</f>
        <v>JUAREZINSTALACION - ENFRIADOR</v>
      </c>
      <c r="B8" t="s">
        <v>81</v>
      </c>
      <c r="C8" t="s">
        <v>138</v>
      </c>
      <c r="D8" t="s">
        <v>45</v>
      </c>
      <c r="F8" s="56" t="s">
        <v>32</v>
      </c>
      <c r="G8" t="s">
        <v>139</v>
      </c>
    </row>
    <row r="9" spans="1:7">
      <c r="A9" t="str">
        <f>B9&amp;Table4[[#This Row],[Tipo Servicio]]</f>
        <v>JUAREZMTTO CORRECTIVO RUTA - BARRIL</v>
      </c>
      <c r="B9" t="s">
        <v>81</v>
      </c>
      <c r="C9" t="s">
        <v>140</v>
      </c>
      <c r="D9" t="s">
        <v>47</v>
      </c>
      <c r="F9" s="56" t="s">
        <v>29</v>
      </c>
      <c r="G9" t="s">
        <v>139</v>
      </c>
    </row>
    <row r="10" spans="1:7">
      <c r="A10" t="str">
        <f>B10&amp;Table4[[#This Row],[Tipo Servicio]]</f>
        <v>JUAREZMTTO CORRECTIVO RUTA - CUARTO FRIO</v>
      </c>
      <c r="B10" t="s">
        <v>81</v>
      </c>
      <c r="C10" t="s">
        <v>141</v>
      </c>
      <c r="D10" t="s">
        <v>142</v>
      </c>
      <c r="F10" s="56" t="s">
        <v>143</v>
      </c>
      <c r="G10" t="s">
        <v>139</v>
      </c>
    </row>
    <row r="11" spans="1:7">
      <c r="A11" t="str">
        <f>B11&amp;Table4[[#This Row],[Tipo Servicio]]</f>
        <v>JUAREZMTTO CORRECTIVO RUTA - MAQUINA HIELO</v>
      </c>
      <c r="B11" t="s">
        <v>81</v>
      </c>
      <c r="C11" t="s">
        <v>144</v>
      </c>
      <c r="D11" t="s">
        <v>128</v>
      </c>
      <c r="F11" s="56" t="s">
        <v>129</v>
      </c>
      <c r="G11" t="s">
        <v>139</v>
      </c>
    </row>
    <row r="12" spans="1:7">
      <c r="A12" t="str">
        <f>B12&amp;Table4[[#This Row],[Tipo Servicio]]</f>
        <v>JUAREZMTTO CORRECTIVO RUTA - ENFRIADOR</v>
      </c>
      <c r="B12" t="s">
        <v>81</v>
      </c>
      <c r="C12" t="s">
        <v>145</v>
      </c>
      <c r="D12" t="s">
        <v>132</v>
      </c>
      <c r="E12" t="s">
        <v>133</v>
      </c>
      <c r="F12" s="56" t="s">
        <v>134</v>
      </c>
      <c r="G12" t="s">
        <v>139</v>
      </c>
    </row>
    <row r="13" spans="1:7">
      <c r="A13" t="str">
        <f>B13&amp;Table4[[#This Row],[Tipo Servicio]]</f>
        <v>JUAREZMTTO CORRECTIVO PISO - ENFRIADOR</v>
      </c>
      <c r="B13" t="s">
        <v>81</v>
      </c>
      <c r="C13" t="s">
        <v>145</v>
      </c>
      <c r="D13" t="s">
        <v>132</v>
      </c>
      <c r="E13" t="s">
        <v>135</v>
      </c>
      <c r="F13" s="56" t="s">
        <v>136</v>
      </c>
      <c r="G13" t="s">
        <v>139</v>
      </c>
    </row>
    <row r="14" spans="1:7">
      <c r="A14" t="str">
        <f>B14&amp;Table4[[#This Row],[Tipo Servicio]]</f>
        <v>BCSCOMPRA TANQUE CO2 - BARRIL</v>
      </c>
      <c r="B14" t="s">
        <v>67</v>
      </c>
      <c r="C14" t="s">
        <v>146</v>
      </c>
      <c r="D14" t="s">
        <v>126</v>
      </c>
      <c r="F14" s="56" t="s">
        <v>28</v>
      </c>
      <c r="G14" t="s">
        <v>139</v>
      </c>
    </row>
    <row r="15" spans="1:7">
      <c r="A15" t="str">
        <f>B15&amp;Table4[[#This Row],[Tipo Servicio]]</f>
        <v>BCSMTTO CORRECTIVO RUTA - BARRIL</v>
      </c>
      <c r="B15" t="s">
        <v>67</v>
      </c>
      <c r="C15" t="s">
        <v>147</v>
      </c>
      <c r="D15" t="s">
        <v>47</v>
      </c>
      <c r="F15" s="56" t="s">
        <v>29</v>
      </c>
      <c r="G15" t="s">
        <v>139</v>
      </c>
    </row>
    <row r="16" spans="1:7">
      <c r="A16" t="str">
        <f>B16&amp;Table4[[#This Row],[Tipo Servicio]]</f>
        <v>BCSMTTO CORRECTIVO RUTA - CUARTO FRIO</v>
      </c>
      <c r="B16" t="s">
        <v>67</v>
      </c>
      <c r="C16" t="s">
        <v>148</v>
      </c>
      <c r="D16" t="s">
        <v>142</v>
      </c>
      <c r="F16" s="56" t="s">
        <v>143</v>
      </c>
      <c r="G16" t="s">
        <v>139</v>
      </c>
    </row>
    <row r="17" spans="1:7">
      <c r="A17" t="str">
        <f>B17&amp;Table4[[#This Row],[Tipo Servicio]]</f>
        <v>BCSMTTO CORRECTIVO RUTA - MAQUINA HIELO</v>
      </c>
      <c r="B17" t="s">
        <v>67</v>
      </c>
      <c r="C17" t="s">
        <v>149</v>
      </c>
      <c r="D17" t="s">
        <v>128</v>
      </c>
      <c r="F17" s="56" t="s">
        <v>129</v>
      </c>
      <c r="G17" t="s">
        <v>139</v>
      </c>
    </row>
    <row r="18" spans="1:7">
      <c r="A18" t="str">
        <f>B18&amp;Table4[[#This Row],[Tipo Servicio]]</f>
        <v>BCSMTTO CORRECTIVO RUTA - ENFRIADOR</v>
      </c>
      <c r="B18" t="s">
        <v>67</v>
      </c>
      <c r="C18" t="s">
        <v>150</v>
      </c>
      <c r="D18" t="s">
        <v>132</v>
      </c>
      <c r="E18" t="s">
        <v>133</v>
      </c>
      <c r="F18" s="56" t="s">
        <v>134</v>
      </c>
      <c r="G18" t="s">
        <v>139</v>
      </c>
    </row>
    <row r="19" spans="1:7">
      <c r="A19" t="str">
        <f>B19&amp;Table4[[#This Row],[Tipo Servicio]]</f>
        <v>BCSMTTO CORRECTIVO PISO - ENFRIADOR</v>
      </c>
      <c r="B19" t="s">
        <v>67</v>
      </c>
      <c r="C19" t="s">
        <v>150</v>
      </c>
      <c r="D19" t="s">
        <v>132</v>
      </c>
      <c r="E19" t="s">
        <v>135</v>
      </c>
      <c r="F19" s="56" t="s">
        <v>136</v>
      </c>
      <c r="G19" t="s">
        <v>139</v>
      </c>
    </row>
    <row r="20" spans="1:7">
      <c r="A20" t="str">
        <f>B20&amp;Table4[[#This Row],[Tipo Servicio]]</f>
        <v>BCSINSTALACION - ENFRIADOR</v>
      </c>
      <c r="B20" t="s">
        <v>67</v>
      </c>
      <c r="C20" t="s">
        <v>151</v>
      </c>
      <c r="D20" t="s">
        <v>45</v>
      </c>
      <c r="F20" s="56" t="s">
        <v>32</v>
      </c>
      <c r="G20" t="s">
        <v>139</v>
      </c>
    </row>
    <row r="21" spans="1:7">
      <c r="A21" t="str">
        <f>B21&amp;Table4[[#This Row],[Tipo Servicio]]</f>
        <v>SONORAINSTALACION - ENFRIADOR</v>
      </c>
      <c r="B21" t="s">
        <v>90</v>
      </c>
      <c r="C21" t="s">
        <v>152</v>
      </c>
      <c r="D21" t="s">
        <v>45</v>
      </c>
      <c r="F21" s="56" t="s">
        <v>32</v>
      </c>
      <c r="G21" t="str">
        <f>_xlfn.XLOOKUP(Table4[[#This Row],[GZ]],'[1]BASE TRADE'!$R:$R,'[1]BASE TRADE'!$Q:$Q)</f>
        <v>1. Northwest</v>
      </c>
    </row>
    <row r="22" spans="1:7">
      <c r="A22" t="str">
        <f>B22&amp;Table4[[#This Row],[Tipo Servicio]]</f>
        <v>SONORACOMPRA TANQUE CO2 - BARRIL</v>
      </c>
      <c r="B22" t="s">
        <v>90</v>
      </c>
      <c r="C22" t="s">
        <v>153</v>
      </c>
      <c r="D22" t="s">
        <v>126</v>
      </c>
      <c r="F22" s="56" t="s">
        <v>28</v>
      </c>
      <c r="G22" t="str">
        <f>_xlfn.XLOOKUP(Table4[[#This Row],[GZ]],'[1]BASE TRADE'!$R:$R,'[1]BASE TRADE'!$Q:$Q)</f>
        <v>1. Northwest</v>
      </c>
    </row>
    <row r="23" spans="1:7">
      <c r="A23" t="str">
        <f>B23&amp;Table4[[#This Row],[Tipo Servicio]]</f>
        <v>SONORAMTTO CORRECTIVO RUTA - BARRIL</v>
      </c>
      <c r="B23" t="s">
        <v>90</v>
      </c>
      <c r="C23" t="s">
        <v>154</v>
      </c>
      <c r="D23" t="s">
        <v>47</v>
      </c>
      <c r="F23" s="56" t="s">
        <v>29</v>
      </c>
      <c r="G23" t="str">
        <f>_xlfn.XLOOKUP(Table4[[#This Row],[GZ]],'[1]BASE TRADE'!$R:$R,'[1]BASE TRADE'!$Q:$Q)</f>
        <v>1. Northwest</v>
      </c>
    </row>
    <row r="24" spans="1:7">
      <c r="A24" t="str">
        <f>B24&amp;Table4[[#This Row],[Tipo Servicio]]</f>
        <v>SONORAMTTO CORRECTIVO RUTA - CUARTO FRIO</v>
      </c>
      <c r="B24" t="s">
        <v>90</v>
      </c>
      <c r="C24" t="s">
        <v>155</v>
      </c>
      <c r="D24" t="s">
        <v>142</v>
      </c>
      <c r="F24" s="56" t="s">
        <v>143</v>
      </c>
      <c r="G24" t="str">
        <f>_xlfn.XLOOKUP(Table4[[#This Row],[GZ]],'[1]BASE TRADE'!$R:$R,'[1]BASE TRADE'!$Q:$Q)</f>
        <v>1. Northwest</v>
      </c>
    </row>
    <row r="25" spans="1:7">
      <c r="A25" t="str">
        <f>B25&amp;Table4[[#This Row],[Tipo Servicio]]</f>
        <v>SONORAMTTO CORRECTIVO RUTA - MAQUINA HIELO</v>
      </c>
      <c r="B25" t="s">
        <v>90</v>
      </c>
      <c r="C25" t="s">
        <v>156</v>
      </c>
      <c r="D25" t="s">
        <v>128</v>
      </c>
      <c r="F25" s="56" t="s">
        <v>129</v>
      </c>
      <c r="G25" t="str">
        <f>_xlfn.XLOOKUP(Table4[[#This Row],[GZ]],'[1]BASE TRADE'!$R:$R,'[1]BASE TRADE'!$Q:$Q)</f>
        <v>1. Northwest</v>
      </c>
    </row>
    <row r="26" spans="1:7">
      <c r="A26" t="str">
        <f>B26&amp;Table4[[#This Row],[Tipo Servicio]]</f>
        <v>SONORAMTTO CORRECTIVO RUTA - ENFRIADOR</v>
      </c>
      <c r="B26" t="s">
        <v>90</v>
      </c>
      <c r="C26" t="s">
        <v>157</v>
      </c>
      <c r="D26" t="s">
        <v>132</v>
      </c>
      <c r="E26" t="s">
        <v>133</v>
      </c>
      <c r="F26" s="56" t="s">
        <v>134</v>
      </c>
      <c r="G26" t="str">
        <f>_xlfn.XLOOKUP(Table4[[#This Row],[GZ]],'[1]BASE TRADE'!$R:$R,'[1]BASE TRADE'!$Q:$Q)</f>
        <v>1. Northwest</v>
      </c>
    </row>
    <row r="27" spans="1:7">
      <c r="A27" t="str">
        <f>B27&amp;Table4[[#This Row],[Tipo Servicio]]</f>
        <v>SONORAMTTO CORRECTIVO PISO - ENFRIADOR</v>
      </c>
      <c r="B27" t="s">
        <v>90</v>
      </c>
      <c r="C27" t="s">
        <v>157</v>
      </c>
      <c r="D27" t="s">
        <v>132</v>
      </c>
      <c r="E27" t="s">
        <v>135</v>
      </c>
      <c r="F27" s="56" t="s">
        <v>136</v>
      </c>
      <c r="G27" t="str">
        <f>_xlfn.XLOOKUP(Table4[[#This Row],[GZ]],'[1]BASE TRADE'!$R:$R,'[1]BASE TRADE'!$Q:$Q)</f>
        <v>1. Northwest</v>
      </c>
    </row>
    <row r="28" spans="1:7">
      <c r="A28" t="str">
        <f>B28&amp;Table4[[#This Row],[Tipo Servicio]]</f>
        <v>CHIHUAHUACOMPRA TANQUE CO2 - BARRIL</v>
      </c>
      <c r="B28" t="s">
        <v>70</v>
      </c>
      <c r="C28" t="s">
        <v>158</v>
      </c>
      <c r="D28" t="s">
        <v>126</v>
      </c>
      <c r="F28" s="56" t="s">
        <v>28</v>
      </c>
      <c r="G28" t="str">
        <f>_xlfn.XLOOKUP(Table4[[#This Row],[GZ]],'[1]BASE TRADE'!$R:$R,'[1]BASE TRADE'!$Q:$Q)</f>
        <v>1. Northwest</v>
      </c>
    </row>
    <row r="29" spans="1:7">
      <c r="A29" t="str">
        <f>B29&amp;Table4[[#This Row],[Tipo Servicio]]</f>
        <v>CHIHUAHUAMTTO CORRECTIVO RUTA - BARRIL</v>
      </c>
      <c r="B29" t="s">
        <v>70</v>
      </c>
      <c r="C29" t="s">
        <v>159</v>
      </c>
      <c r="D29" t="s">
        <v>47</v>
      </c>
      <c r="F29" s="56" t="s">
        <v>29</v>
      </c>
      <c r="G29" t="str">
        <f>_xlfn.XLOOKUP(Table4[[#This Row],[GZ]],'[1]BASE TRADE'!$R:$R,'[1]BASE TRADE'!$Q:$Q)</f>
        <v>1. Northwest</v>
      </c>
    </row>
    <row r="30" spans="1:7">
      <c r="A30" t="str">
        <f>B30&amp;Table4[[#This Row],[Tipo Servicio]]</f>
        <v>CHIHUAHUAMTTO CORRECTIVO RUTA - CUARTO FRIO</v>
      </c>
      <c r="B30" t="s">
        <v>70</v>
      </c>
      <c r="C30" t="s">
        <v>160</v>
      </c>
      <c r="D30" t="s">
        <v>142</v>
      </c>
      <c r="F30" s="56" t="s">
        <v>143</v>
      </c>
      <c r="G30" t="str">
        <f>_xlfn.XLOOKUP(Table4[[#This Row],[GZ]],'[1]BASE TRADE'!$R:$R,'[1]BASE TRADE'!$Q:$Q)</f>
        <v>1. Northwest</v>
      </c>
    </row>
    <row r="31" spans="1:7">
      <c r="A31" t="str">
        <f>B31&amp;Table4[[#This Row],[Tipo Servicio]]</f>
        <v>CHIHUAHUAMTTO CORRECTIVO RUTA - MAQUINA HIELO</v>
      </c>
      <c r="B31" t="s">
        <v>70</v>
      </c>
      <c r="C31" t="s">
        <v>161</v>
      </c>
      <c r="D31" t="s">
        <v>128</v>
      </c>
      <c r="F31" s="56" t="s">
        <v>129</v>
      </c>
      <c r="G31" t="str">
        <f>_xlfn.XLOOKUP(Table4[[#This Row],[GZ]],'[1]BASE TRADE'!$R:$R,'[1]BASE TRADE'!$Q:$Q)</f>
        <v>1. Northwest</v>
      </c>
    </row>
    <row r="32" spans="1:7">
      <c r="A32" t="str">
        <f>B32&amp;Table4[[#This Row],[Tipo Servicio]]</f>
        <v>CHIHUAHUAMTTO CORRECTIVO RUTA - ENFRIADOR</v>
      </c>
      <c r="B32" t="s">
        <v>70</v>
      </c>
      <c r="C32" t="s">
        <v>162</v>
      </c>
      <c r="D32" t="s">
        <v>132</v>
      </c>
      <c r="E32" t="s">
        <v>133</v>
      </c>
      <c r="F32" s="56" t="s">
        <v>134</v>
      </c>
      <c r="G32" t="str">
        <f>_xlfn.XLOOKUP(Table4[[#This Row],[GZ]],'[1]BASE TRADE'!$R:$R,'[1]BASE TRADE'!$Q:$Q)</f>
        <v>1. Northwest</v>
      </c>
    </row>
    <row r="33" spans="1:7">
      <c r="A33" t="str">
        <f>B33&amp;Table4[[#This Row],[Tipo Servicio]]</f>
        <v>CHIHUAHUAMTTO CORRECTIVO PISO - ENFRIADOR</v>
      </c>
      <c r="B33" t="s">
        <v>70</v>
      </c>
      <c r="C33" t="s">
        <v>162</v>
      </c>
      <c r="D33" t="s">
        <v>132</v>
      </c>
      <c r="E33" t="s">
        <v>135</v>
      </c>
      <c r="F33" s="56" t="s">
        <v>136</v>
      </c>
      <c r="G33" t="str">
        <f>_xlfn.XLOOKUP(Table4[[#This Row],[GZ]],'[1]BASE TRADE'!$R:$R,'[1]BASE TRADE'!$Q:$Q)</f>
        <v>1. Northwest</v>
      </c>
    </row>
    <row r="34" spans="1:7">
      <c r="A34" t="str">
        <f>B34&amp;Table4[[#This Row],[Tipo Servicio]]</f>
        <v>CHIHUAHUAINSTALACION - ENFRIADOR</v>
      </c>
      <c r="B34" t="s">
        <v>70</v>
      </c>
      <c r="C34" t="s">
        <v>163</v>
      </c>
      <c r="D34" t="s">
        <v>45</v>
      </c>
      <c r="F34" s="56" t="s">
        <v>32</v>
      </c>
      <c r="G34" t="str">
        <f>_xlfn.XLOOKUP(Table4[[#This Row],[GZ]],'[1]BASE TRADE'!$R:$R,'[1]BASE TRADE'!$Q:$Q)</f>
        <v>1. Northwest</v>
      </c>
    </row>
    <row r="35" spans="1:7">
      <c r="A35" t="str">
        <f>B35&amp;Table4[[#This Row],[Tipo Servicio]]</f>
        <v>SINALOAINSTALACION - ENFRIADOR</v>
      </c>
      <c r="B35" t="s">
        <v>88</v>
      </c>
      <c r="C35" t="s">
        <v>164</v>
      </c>
      <c r="D35" t="s">
        <v>45</v>
      </c>
      <c r="F35" s="56" t="s">
        <v>32</v>
      </c>
      <c r="G35" t="str">
        <f>_xlfn.XLOOKUP(Table4[[#This Row],[GZ]],'[1]BASE TRADE'!$R:$R,'[1]BASE TRADE'!$Q:$Q)</f>
        <v>1. Northwest</v>
      </c>
    </row>
    <row r="36" spans="1:7">
      <c r="A36" t="str">
        <f>B36&amp;Table4[[#This Row],[Tipo Servicio]]</f>
        <v>SINALOACOMPRA TANQUE CO2 - BARRIL</v>
      </c>
      <c r="B36" t="s">
        <v>88</v>
      </c>
      <c r="C36" t="s">
        <v>165</v>
      </c>
      <c r="D36" t="s">
        <v>126</v>
      </c>
      <c r="F36" s="56" t="s">
        <v>28</v>
      </c>
      <c r="G36" t="str">
        <f>_xlfn.XLOOKUP(Table4[[#This Row],[GZ]],'[1]BASE TRADE'!$R:$R,'[1]BASE TRADE'!$Q:$Q)</f>
        <v>1. Northwest</v>
      </c>
    </row>
    <row r="37" spans="1:7">
      <c r="A37" t="str">
        <f>B37&amp;Table4[[#This Row],[Tipo Servicio]]</f>
        <v>SINALOAMTTO CORRECTIVO RUTA - BARRIL</v>
      </c>
      <c r="B37" t="s">
        <v>88</v>
      </c>
      <c r="C37" t="s">
        <v>166</v>
      </c>
      <c r="D37" t="s">
        <v>47</v>
      </c>
      <c r="F37" s="56" t="s">
        <v>29</v>
      </c>
      <c r="G37" t="str">
        <f>_xlfn.XLOOKUP(Table4[[#This Row],[GZ]],'[1]BASE TRADE'!$R:$R,'[1]BASE TRADE'!$Q:$Q)</f>
        <v>1. Northwest</v>
      </c>
    </row>
    <row r="38" spans="1:7">
      <c r="A38" t="str">
        <f>B38&amp;Table4[[#This Row],[Tipo Servicio]]</f>
        <v>SINALOAMTTO CORRECTIVO RUTA - CUARTO FRIO</v>
      </c>
      <c r="B38" t="s">
        <v>88</v>
      </c>
      <c r="C38" t="s">
        <v>167</v>
      </c>
      <c r="D38" t="s">
        <v>142</v>
      </c>
      <c r="F38" s="56" t="s">
        <v>143</v>
      </c>
      <c r="G38" t="str">
        <f>_xlfn.XLOOKUP(Table4[[#This Row],[GZ]],'[1]BASE TRADE'!$R:$R,'[1]BASE TRADE'!$Q:$Q)</f>
        <v>1. Northwest</v>
      </c>
    </row>
    <row r="39" spans="1:7">
      <c r="A39" t="str">
        <f>B39&amp;Table4[[#This Row],[Tipo Servicio]]</f>
        <v>SINALOAMTTO CORRECTIVO RUTA - MAQUINA HIELO</v>
      </c>
      <c r="B39" t="s">
        <v>88</v>
      </c>
      <c r="C39" t="s">
        <v>168</v>
      </c>
      <c r="D39" t="s">
        <v>128</v>
      </c>
      <c r="F39" s="56" t="s">
        <v>129</v>
      </c>
      <c r="G39" t="str">
        <f>_xlfn.XLOOKUP(Table4[[#This Row],[GZ]],'[1]BASE TRADE'!$R:$R,'[1]BASE TRADE'!$Q:$Q)</f>
        <v>1. Northwest</v>
      </c>
    </row>
    <row r="40" spans="1:7">
      <c r="A40" t="str">
        <f>B40&amp;Table4[[#This Row],[Tipo Servicio]]</f>
        <v>SINALOAMTTO CORRECTIVO RUTA - ENFRIADOR</v>
      </c>
      <c r="B40" t="s">
        <v>88</v>
      </c>
      <c r="C40" t="s">
        <v>169</v>
      </c>
      <c r="D40" t="s">
        <v>132</v>
      </c>
      <c r="E40" t="s">
        <v>133</v>
      </c>
      <c r="F40" s="56" t="s">
        <v>134</v>
      </c>
      <c r="G40" t="str">
        <f>_xlfn.XLOOKUP(Table4[[#This Row],[GZ]],'[1]BASE TRADE'!$R:$R,'[1]BASE TRADE'!$Q:$Q)</f>
        <v>1. Northwest</v>
      </c>
    </row>
    <row r="41" spans="1:7">
      <c r="A41" t="str">
        <f>B41&amp;Table4[[#This Row],[Tipo Servicio]]</f>
        <v>SINALOAMTTO CORRECTIVO PISO - ENFRIADOR</v>
      </c>
      <c r="B41" t="s">
        <v>88</v>
      </c>
      <c r="C41" t="s">
        <v>169</v>
      </c>
      <c r="D41" t="s">
        <v>132</v>
      </c>
      <c r="E41" t="s">
        <v>135</v>
      </c>
      <c r="F41" s="56" t="s">
        <v>136</v>
      </c>
      <c r="G41" t="str">
        <f>_xlfn.XLOOKUP(Table4[[#This Row],[GZ]],'[1]BASE TRADE'!$R:$R,'[1]BASE TRADE'!$Q:$Q)</f>
        <v>1. Northwest</v>
      </c>
    </row>
    <row r="42" spans="1:7">
      <c r="A42" t="str">
        <f>B42&amp;Table4[[#This Row],[Tipo Servicio]]</f>
        <v>BCNMTTO CORRECTIVO RUTA - BARRIL</v>
      </c>
      <c r="B42" t="s">
        <v>64</v>
      </c>
      <c r="C42" t="s">
        <v>170</v>
      </c>
      <c r="D42" t="s">
        <v>47</v>
      </c>
      <c r="F42" s="56" t="s">
        <v>29</v>
      </c>
      <c r="G42" t="s">
        <v>139</v>
      </c>
    </row>
    <row r="43" spans="1:7">
      <c r="A43" t="str">
        <f>B43&amp;Table4[[#This Row],[Tipo Servicio]]</f>
        <v>BCNMTTO CORRECTIVO RUTA - CUARTO FRIO</v>
      </c>
      <c r="B43" t="s">
        <v>64</v>
      </c>
      <c r="C43" t="s">
        <v>171</v>
      </c>
      <c r="D43" t="s">
        <v>142</v>
      </c>
      <c r="F43" s="56" t="s">
        <v>143</v>
      </c>
      <c r="G43" t="s">
        <v>139</v>
      </c>
    </row>
    <row r="44" spans="1:7">
      <c r="A44" t="str">
        <f>B44&amp;Table4[[#This Row],[Tipo Servicio]]</f>
        <v>BCNMTTO CORRECTIVO RUTA - MAQUINA HIELO</v>
      </c>
      <c r="B44" t="s">
        <v>64</v>
      </c>
      <c r="C44" t="s">
        <v>172</v>
      </c>
      <c r="D44" t="s">
        <v>128</v>
      </c>
      <c r="F44" s="56" t="s">
        <v>129</v>
      </c>
      <c r="G44" t="s">
        <v>139</v>
      </c>
    </row>
    <row r="45" spans="1:7">
      <c r="A45" t="str">
        <f>B45&amp;Table4[[#This Row],[Tipo Servicio]]</f>
        <v>BCNMTTO CORRECTIVO RUTA - ENFRIADOR</v>
      </c>
      <c r="B45" t="s">
        <v>64</v>
      </c>
      <c r="C45" t="s">
        <v>173</v>
      </c>
      <c r="D45" t="s">
        <v>132</v>
      </c>
      <c r="E45" t="s">
        <v>133</v>
      </c>
      <c r="F45" s="56" t="s">
        <v>134</v>
      </c>
      <c r="G45" t="s">
        <v>139</v>
      </c>
    </row>
    <row r="46" spans="1:7">
      <c r="A46" t="str">
        <f>B46&amp;Table4[[#This Row],[Tipo Servicio]]</f>
        <v>BCNMTTO CORRECTIVO PISO - ENFRIADOR</v>
      </c>
      <c r="B46" t="s">
        <v>64</v>
      </c>
      <c r="C46" t="s">
        <v>173</v>
      </c>
      <c r="D46" t="s">
        <v>132</v>
      </c>
      <c r="E46" t="s">
        <v>135</v>
      </c>
      <c r="F46" s="56" t="s">
        <v>136</v>
      </c>
      <c r="G46" t="s">
        <v>139</v>
      </c>
    </row>
    <row r="47" spans="1:7">
      <c r="A47" t="str">
        <f>B47&amp;Table4[[#This Row],[Tipo Servicio]]</f>
        <v>BCNINSTALACION - ENFRIADOR</v>
      </c>
      <c r="B47" t="s">
        <v>64</v>
      </c>
      <c r="C47" t="s">
        <v>174</v>
      </c>
      <c r="D47" t="s">
        <v>45</v>
      </c>
      <c r="F47" s="56" t="s">
        <v>32</v>
      </c>
      <c r="G47" t="s">
        <v>139</v>
      </c>
    </row>
    <row r="48" spans="1:7">
      <c r="A48" t="str">
        <f>B48&amp;Table4[[#This Row],[Tipo Servicio]]</f>
        <v>YUCAMCOMPRA TANQUE CO2 - BARRIL</v>
      </c>
      <c r="B48" t="s">
        <v>100</v>
      </c>
      <c r="C48" t="s">
        <v>175</v>
      </c>
      <c r="D48" t="s">
        <v>126</v>
      </c>
      <c r="F48" s="56" t="s">
        <v>28</v>
      </c>
      <c r="G48" t="s">
        <v>176</v>
      </c>
    </row>
    <row r="49" spans="1:7">
      <c r="A49" t="str">
        <f>B49&amp;Table4[[#This Row],[Tipo Servicio]]</f>
        <v>YUCAMMTTO CORRECTIVO RUTA - BARRIL</v>
      </c>
      <c r="B49" t="s">
        <v>100</v>
      </c>
      <c r="C49" t="s">
        <v>177</v>
      </c>
      <c r="D49" t="s">
        <v>47</v>
      </c>
      <c r="F49" s="56" t="s">
        <v>29</v>
      </c>
      <c r="G49" t="s">
        <v>176</v>
      </c>
    </row>
    <row r="50" spans="1:7">
      <c r="A50" t="str">
        <f>B50&amp;Table4[[#This Row],[Tipo Servicio]]</f>
        <v>YUCAMMTTO CORRECTIVO RUTA - ENFRIADOR</v>
      </c>
      <c r="B50" t="s">
        <v>100</v>
      </c>
      <c r="C50" t="s">
        <v>178</v>
      </c>
      <c r="D50" t="s">
        <v>132</v>
      </c>
      <c r="E50" t="s">
        <v>133</v>
      </c>
      <c r="F50" s="56" t="s">
        <v>134</v>
      </c>
      <c r="G50" t="s">
        <v>176</v>
      </c>
    </row>
    <row r="51" spans="1:7">
      <c r="A51" t="str">
        <f>B51&amp;Table4[[#This Row],[Tipo Servicio]]</f>
        <v>YUCAMMTTO CORRECTIVO PISO - ENFRIADOR</v>
      </c>
      <c r="B51" t="s">
        <v>100</v>
      </c>
      <c r="C51" t="s">
        <v>178</v>
      </c>
      <c r="D51" t="s">
        <v>132</v>
      </c>
      <c r="E51" t="s">
        <v>135</v>
      </c>
      <c r="F51" s="56" t="s">
        <v>136</v>
      </c>
      <c r="G51" t="s">
        <v>176</v>
      </c>
    </row>
    <row r="52" spans="1:7">
      <c r="A52" t="str">
        <f>B52&amp;Table4[[#This Row],[Tipo Servicio]]</f>
        <v>YUCAMINSTALACION - ENFRIADOR</v>
      </c>
      <c r="B52" t="s">
        <v>100</v>
      </c>
      <c r="C52" t="s">
        <v>179</v>
      </c>
      <c r="D52" t="s">
        <v>45</v>
      </c>
      <c r="F52" s="56" t="s">
        <v>32</v>
      </c>
      <c r="G52" t="s">
        <v>176</v>
      </c>
    </row>
    <row r="53" spans="1:7">
      <c r="A53" t="str">
        <f>B53&amp;Table4[[#This Row],[Tipo Servicio]]</f>
        <v>PUEBLA-TLAXCALAINSTALACION - ENFRIADOR</v>
      </c>
      <c r="B53" t="s">
        <v>85</v>
      </c>
      <c r="C53" t="s">
        <v>180</v>
      </c>
      <c r="D53" t="s">
        <v>45</v>
      </c>
      <c r="F53" s="56" t="s">
        <v>32</v>
      </c>
      <c r="G53" t="e">
        <f>_xlfn.XLOOKUP(Table4[[#This Row],[GZ]],'[1]BASE TRADE'!$R:$R,'[1]BASE TRADE'!$Q:$Q)</f>
        <v>#N/A</v>
      </c>
    </row>
    <row r="54" spans="1:7">
      <c r="A54" t="str">
        <f>B54&amp;Table4[[#This Row],[Tipo Servicio]]</f>
        <v>PUEBLA-TLAXCALACOMPRA TANQUE CO2 - BARRIL</v>
      </c>
      <c r="B54" t="s">
        <v>85</v>
      </c>
      <c r="C54" t="s">
        <v>181</v>
      </c>
      <c r="D54" t="s">
        <v>126</v>
      </c>
      <c r="F54" s="56" t="s">
        <v>28</v>
      </c>
      <c r="G54" t="e">
        <f>_xlfn.XLOOKUP(Table4[[#This Row],[GZ]],'[1]BASE TRADE'!$R:$R,'[1]BASE TRADE'!$Q:$Q)</f>
        <v>#N/A</v>
      </c>
    </row>
    <row r="55" spans="1:7">
      <c r="A55" t="str">
        <f>B55&amp;Table4[[#This Row],[Tipo Servicio]]</f>
        <v>PUEBLA-TLAXCALAMTTO CORRECTIVO RUTA - BARRIL</v>
      </c>
      <c r="B55" t="s">
        <v>85</v>
      </c>
      <c r="C55" t="s">
        <v>182</v>
      </c>
      <c r="D55" t="s">
        <v>47</v>
      </c>
      <c r="F55" s="56" t="s">
        <v>29</v>
      </c>
      <c r="G55" t="e">
        <f>_xlfn.XLOOKUP(Table4[[#This Row],[GZ]],'[1]BASE TRADE'!$R:$R,'[1]BASE TRADE'!$Q:$Q)</f>
        <v>#N/A</v>
      </c>
    </row>
    <row r="56" spans="1:7">
      <c r="A56" t="str">
        <f>B56&amp;Table4[[#This Row],[Tipo Servicio]]</f>
        <v>PUEBLA-TLAXCALAMTTO CORRECTIVO RUTA - ENFRIADOR</v>
      </c>
      <c r="B56" t="s">
        <v>85</v>
      </c>
      <c r="C56" t="s">
        <v>183</v>
      </c>
      <c r="D56" t="s">
        <v>132</v>
      </c>
      <c r="E56" t="s">
        <v>133</v>
      </c>
      <c r="F56" s="56" t="s">
        <v>134</v>
      </c>
      <c r="G56" t="e">
        <f>_xlfn.XLOOKUP(Table4[[#This Row],[GZ]],'[1]BASE TRADE'!$R:$R,'[1]BASE TRADE'!$Q:$Q)</f>
        <v>#N/A</v>
      </c>
    </row>
    <row r="57" spans="1:7">
      <c r="A57" t="str">
        <f>B57&amp;Table4[[#This Row],[Tipo Servicio]]</f>
        <v>PUEBLA-TLAXCALAMTTO CORRECTIVO PISO - ENFRIADOR</v>
      </c>
      <c r="B57" t="s">
        <v>85</v>
      </c>
      <c r="C57" t="s">
        <v>183</v>
      </c>
      <c r="D57" t="s">
        <v>132</v>
      </c>
      <c r="E57" t="s">
        <v>135</v>
      </c>
      <c r="F57" s="56" t="s">
        <v>136</v>
      </c>
      <c r="G57" t="e">
        <f>_xlfn.XLOOKUP(Table4[[#This Row],[GZ]],'[1]BASE TRADE'!$R:$R,'[1]BASE TRADE'!$Q:$Q)</f>
        <v>#N/A</v>
      </c>
    </row>
    <row r="58" spans="1:7">
      <c r="A58" t="str">
        <f>B58&amp;Table4[[#This Row],[Tipo Servicio]]</f>
        <v>VERACRUZ CENTROINSTALACION - ENFRIADOR</v>
      </c>
      <c r="B58" t="s">
        <v>98</v>
      </c>
      <c r="C58" t="s">
        <v>184</v>
      </c>
      <c r="D58" t="s">
        <v>45</v>
      </c>
      <c r="F58" s="56" t="s">
        <v>32</v>
      </c>
      <c r="G58" t="str">
        <f>_xlfn.XLOOKUP(Table4[[#This Row],[GZ]],'[1]BASE TRADE'!$R:$R,'[1]BASE TRADE'!$Q:$Q)</f>
        <v>5. Southeast</v>
      </c>
    </row>
    <row r="59" spans="1:7">
      <c r="A59" t="str">
        <f>B59&amp;Table4[[#This Row],[Tipo Servicio]]</f>
        <v>VERACRUZ CENTROCOMPRA TANQUE CO2 - BARRIL</v>
      </c>
      <c r="B59" t="s">
        <v>98</v>
      </c>
      <c r="C59" t="s">
        <v>185</v>
      </c>
      <c r="D59" t="s">
        <v>126</v>
      </c>
      <c r="F59" s="56" t="s">
        <v>28</v>
      </c>
      <c r="G59" t="str">
        <f>_xlfn.XLOOKUP(Table4[[#This Row],[GZ]],'[1]BASE TRADE'!$R:$R,'[1]BASE TRADE'!$Q:$Q)</f>
        <v>5. Southeast</v>
      </c>
    </row>
    <row r="60" spans="1:7">
      <c r="A60" t="str">
        <f>B60&amp;Table4[[#This Row],[Tipo Servicio]]</f>
        <v>VERACRUZ CENTROMTTO CORRECTIVO RUTA - BARRIL</v>
      </c>
      <c r="B60" t="s">
        <v>98</v>
      </c>
      <c r="C60" t="s">
        <v>186</v>
      </c>
      <c r="D60" t="s">
        <v>47</v>
      </c>
      <c r="F60" s="56" t="s">
        <v>29</v>
      </c>
      <c r="G60" t="str">
        <f>_xlfn.XLOOKUP(Table4[[#This Row],[GZ]],'[1]BASE TRADE'!$R:$R,'[1]BASE TRADE'!$Q:$Q)</f>
        <v>5. Southeast</v>
      </c>
    </row>
    <row r="61" spans="1:7">
      <c r="A61" t="str">
        <f>B61&amp;Table4[[#This Row],[Tipo Servicio]]</f>
        <v>VERACRUZ CENTROMTTO CORRECTIVO RUTA - ENFRIADOR</v>
      </c>
      <c r="B61" t="s">
        <v>98</v>
      </c>
      <c r="C61" t="s">
        <v>187</v>
      </c>
      <c r="D61" t="s">
        <v>132</v>
      </c>
      <c r="E61" t="s">
        <v>133</v>
      </c>
      <c r="F61" s="56" t="s">
        <v>134</v>
      </c>
      <c r="G61" t="str">
        <f>_xlfn.XLOOKUP(Table4[[#This Row],[GZ]],'[1]BASE TRADE'!$R:$R,'[1]BASE TRADE'!$Q:$Q)</f>
        <v>5. Southeast</v>
      </c>
    </row>
    <row r="62" spans="1:7">
      <c r="A62" t="str">
        <f>B62&amp;Table4[[#This Row],[Tipo Servicio]]</f>
        <v>VERACRUZ CENTROMTTO CORRECTIVO PISO - ENFRIADOR</v>
      </c>
      <c r="B62" t="s">
        <v>98</v>
      </c>
      <c r="C62" t="s">
        <v>187</v>
      </c>
      <c r="D62" t="s">
        <v>132</v>
      </c>
      <c r="E62" t="s">
        <v>135</v>
      </c>
      <c r="F62" s="56" t="s">
        <v>136</v>
      </c>
      <c r="G62" t="str">
        <f>_xlfn.XLOOKUP(Table4[[#This Row],[GZ]],'[1]BASE TRADE'!$R:$R,'[1]BASE TRADE'!$Q:$Q)</f>
        <v>5. Southeast</v>
      </c>
    </row>
    <row r="63" spans="1:7">
      <c r="A63" t="str">
        <f>B63&amp;Table4[[#This Row],[Tipo Servicio]]</f>
        <v>QROOCOMPRA TANQUE CO2 - BARRIL</v>
      </c>
      <c r="B63" t="s">
        <v>86</v>
      </c>
      <c r="C63" t="s">
        <v>188</v>
      </c>
      <c r="D63" t="s">
        <v>126</v>
      </c>
      <c r="F63" s="56" t="s">
        <v>28</v>
      </c>
      <c r="G63" t="s">
        <v>176</v>
      </c>
    </row>
    <row r="64" spans="1:7">
      <c r="A64" t="str">
        <f>B64&amp;Table4[[#This Row],[Tipo Servicio]]</f>
        <v>QROOMTTO CORRECTIVO RUTA - BARRIL</v>
      </c>
      <c r="B64" t="s">
        <v>86</v>
      </c>
      <c r="C64" t="s">
        <v>189</v>
      </c>
      <c r="D64" t="s">
        <v>47</v>
      </c>
      <c r="F64" s="56" t="s">
        <v>29</v>
      </c>
      <c r="G64" t="s">
        <v>176</v>
      </c>
    </row>
    <row r="65" spans="1:7">
      <c r="A65" t="str">
        <f>B65&amp;Table4[[#This Row],[Tipo Servicio]]</f>
        <v>QROOMTTO CORRECTIVO RUTA - ENFRIADOR</v>
      </c>
      <c r="B65" t="s">
        <v>86</v>
      </c>
      <c r="C65" t="s">
        <v>190</v>
      </c>
      <c r="D65" t="s">
        <v>132</v>
      </c>
      <c r="E65" t="s">
        <v>133</v>
      </c>
      <c r="F65" s="56" t="s">
        <v>134</v>
      </c>
      <c r="G65" t="s">
        <v>176</v>
      </c>
    </row>
    <row r="66" spans="1:7">
      <c r="A66" t="str">
        <f>B66&amp;Table4[[#This Row],[Tipo Servicio]]</f>
        <v>QROOMTTO CORRECTIVO PISO - ENFRIADOR</v>
      </c>
      <c r="B66" t="s">
        <v>86</v>
      </c>
      <c r="C66" t="s">
        <v>190</v>
      </c>
      <c r="D66" t="s">
        <v>132</v>
      </c>
      <c r="E66" t="s">
        <v>135</v>
      </c>
      <c r="F66" s="56" t="s">
        <v>136</v>
      </c>
      <c r="G66" t="s">
        <v>176</v>
      </c>
    </row>
    <row r="67" spans="1:7">
      <c r="A67" t="str">
        <f>B67&amp;Table4[[#This Row],[Tipo Servicio]]</f>
        <v>QROOINSTALACION - ENFRIADOR</v>
      </c>
      <c r="B67" t="s">
        <v>86</v>
      </c>
      <c r="C67" t="s">
        <v>191</v>
      </c>
      <c r="D67" t="s">
        <v>45</v>
      </c>
      <c r="F67" s="56" t="s">
        <v>32</v>
      </c>
      <c r="G67" t="s">
        <v>176</v>
      </c>
    </row>
    <row r="68" spans="1:7">
      <c r="A68" t="str">
        <f>B68&amp;Table4[[#This Row],[Tipo Servicio]]</f>
        <v>HIDALGOINSTALACION - ENFRIADOR</v>
      </c>
      <c r="B68" t="s">
        <v>79</v>
      </c>
      <c r="C68" t="s">
        <v>192</v>
      </c>
      <c r="D68" t="s">
        <v>45</v>
      </c>
      <c r="F68" s="56" t="s">
        <v>32</v>
      </c>
      <c r="G68" t="str">
        <f>_xlfn.XLOOKUP(Table4[[#This Row],[GZ]],'[1]BASE TRADE'!$R:$R,'[1]BASE TRADE'!$Q:$Q)</f>
        <v>4. Center</v>
      </c>
    </row>
    <row r="69" spans="1:7">
      <c r="A69" t="str">
        <f>B69&amp;Table4[[#This Row],[Tipo Servicio]]</f>
        <v>HIDALGOCOMPRA TANQUE CO2 - BARRIL</v>
      </c>
      <c r="B69" t="s">
        <v>79</v>
      </c>
      <c r="C69" t="s">
        <v>193</v>
      </c>
      <c r="D69" t="s">
        <v>126</v>
      </c>
      <c r="F69" s="56" t="s">
        <v>28</v>
      </c>
      <c r="G69" t="str">
        <f>_xlfn.XLOOKUP(Table4[[#This Row],[GZ]],'[1]BASE TRADE'!$R:$R,'[1]BASE TRADE'!$Q:$Q)</f>
        <v>4. Center</v>
      </c>
    </row>
    <row r="70" spans="1:7">
      <c r="A70" t="str">
        <f>B70&amp;Table4[[#This Row],[Tipo Servicio]]</f>
        <v>HIDALGOMTTO CORRECTIVO RUTA - BARRIL</v>
      </c>
      <c r="B70" t="s">
        <v>79</v>
      </c>
      <c r="C70" t="s">
        <v>194</v>
      </c>
      <c r="D70" t="s">
        <v>47</v>
      </c>
      <c r="F70" s="56" t="s">
        <v>29</v>
      </c>
      <c r="G70" t="str">
        <f>_xlfn.XLOOKUP(Table4[[#This Row],[GZ]],'[1]BASE TRADE'!$R:$R,'[1]BASE TRADE'!$Q:$Q)</f>
        <v>4. Center</v>
      </c>
    </row>
    <row r="71" spans="1:7">
      <c r="A71" t="str">
        <f>B71&amp;Table4[[#This Row],[Tipo Servicio]]</f>
        <v>HIDALGOMTTO CORRECTIVO RUTA - ENFRIADOR</v>
      </c>
      <c r="B71" t="s">
        <v>79</v>
      </c>
      <c r="C71" t="s">
        <v>195</v>
      </c>
      <c r="D71" t="s">
        <v>132</v>
      </c>
      <c r="E71" t="s">
        <v>133</v>
      </c>
      <c r="F71" s="56" t="s">
        <v>134</v>
      </c>
      <c r="G71" t="str">
        <f>_xlfn.XLOOKUP(Table4[[#This Row],[GZ]],'[1]BASE TRADE'!$R:$R,'[1]BASE TRADE'!$Q:$Q)</f>
        <v>4. Center</v>
      </c>
    </row>
    <row r="72" spans="1:7">
      <c r="A72" t="str">
        <f>B72&amp;Table4[[#This Row],[Tipo Servicio]]</f>
        <v>HIDALGOMTTO CORRECTIVO PISO - ENFRIADOR</v>
      </c>
      <c r="B72" t="s">
        <v>79</v>
      </c>
      <c r="C72" t="s">
        <v>195</v>
      </c>
      <c r="D72" t="s">
        <v>132</v>
      </c>
      <c r="E72" t="s">
        <v>135</v>
      </c>
      <c r="F72" s="56" t="s">
        <v>136</v>
      </c>
      <c r="G72" t="str">
        <f>_xlfn.XLOOKUP(Table4[[#This Row],[GZ]],'[1]BASE TRADE'!$R:$R,'[1]BASE TRADE'!$Q:$Q)</f>
        <v>4. Center</v>
      </c>
    </row>
    <row r="73" spans="1:7">
      <c r="A73" t="str">
        <f>B73&amp;Table4[[#This Row],[Tipo Servicio]]</f>
        <v>TABASCO-VER SURCOMPRA TANQUE CO2 - BARRIL</v>
      </c>
      <c r="B73" t="s">
        <v>92</v>
      </c>
      <c r="C73" t="s">
        <v>196</v>
      </c>
      <c r="D73" t="s">
        <v>126</v>
      </c>
      <c r="F73" s="56" t="s">
        <v>28</v>
      </c>
      <c r="G73" t="s">
        <v>176</v>
      </c>
    </row>
    <row r="74" spans="1:7">
      <c r="A74" t="str">
        <f>B74&amp;Table4[[#This Row],[Tipo Servicio]]</f>
        <v>TABASCO-VER SURMTTO CORRECTIVO RUTA - BARRIL</v>
      </c>
      <c r="B74" t="s">
        <v>92</v>
      </c>
      <c r="C74" t="s">
        <v>197</v>
      </c>
      <c r="D74" t="s">
        <v>47</v>
      </c>
      <c r="F74" s="56" t="s">
        <v>29</v>
      </c>
      <c r="G74" t="s">
        <v>176</v>
      </c>
    </row>
    <row r="75" spans="1:7">
      <c r="A75" t="str">
        <f>B75&amp;Table4[[#This Row],[Tipo Servicio]]</f>
        <v>TABASCO-VER SURMTTO CORRECTIVO RUTA - ENFRIADOR</v>
      </c>
      <c r="B75" t="s">
        <v>92</v>
      </c>
      <c r="C75" t="s">
        <v>198</v>
      </c>
      <c r="D75" t="s">
        <v>132</v>
      </c>
      <c r="E75" t="s">
        <v>133</v>
      </c>
      <c r="F75" s="56" t="s">
        <v>134</v>
      </c>
      <c r="G75" t="s">
        <v>176</v>
      </c>
    </row>
    <row r="76" spans="1:7">
      <c r="A76" t="str">
        <f>B76&amp;Table4[[#This Row],[Tipo Servicio]]</f>
        <v>TABASCO-VER SURMTTO CORRECTIVO PISO - ENFRIADOR</v>
      </c>
      <c r="B76" t="s">
        <v>92</v>
      </c>
      <c r="C76" t="s">
        <v>198</v>
      </c>
      <c r="D76" t="s">
        <v>132</v>
      </c>
      <c r="E76" t="s">
        <v>135</v>
      </c>
      <c r="F76" s="56" t="s">
        <v>136</v>
      </c>
      <c r="G76" t="s">
        <v>176</v>
      </c>
    </row>
    <row r="77" spans="1:7">
      <c r="A77" t="str">
        <f>B77&amp;Table4[[#This Row],[Tipo Servicio]]</f>
        <v>TABASCO-VER SURINSTALACION - ENFRIADOR</v>
      </c>
      <c r="B77" t="s">
        <v>92</v>
      </c>
      <c r="C77" t="s">
        <v>199</v>
      </c>
      <c r="D77" t="s">
        <v>45</v>
      </c>
      <c r="F77" s="56" t="s">
        <v>32</v>
      </c>
      <c r="G77" t="s">
        <v>176</v>
      </c>
    </row>
    <row r="78" spans="1:7">
      <c r="A78" t="str">
        <f>B78&amp;Table4[[#This Row],[Tipo Servicio]]</f>
        <v>EDO DE MEXICOINSTALACION - ENFRIADOR</v>
      </c>
      <c r="B78" t="s">
        <v>74</v>
      </c>
      <c r="C78" t="s">
        <v>200</v>
      </c>
      <c r="D78" t="s">
        <v>45</v>
      </c>
      <c r="F78" s="56" t="s">
        <v>32</v>
      </c>
      <c r="G78" t="s">
        <v>201</v>
      </c>
    </row>
    <row r="79" spans="1:7">
      <c r="A79" t="str">
        <f>B79&amp;Table4[[#This Row],[Tipo Servicio]]</f>
        <v>EDO DE MEXICOCOMPRA TANQUE CO2 - BARRIL</v>
      </c>
      <c r="B79" t="s">
        <v>74</v>
      </c>
      <c r="C79" t="s">
        <v>202</v>
      </c>
      <c r="D79" t="s">
        <v>126</v>
      </c>
      <c r="F79" s="56" t="s">
        <v>28</v>
      </c>
      <c r="G79" t="s">
        <v>201</v>
      </c>
    </row>
    <row r="80" spans="1:7">
      <c r="A80" t="str">
        <f>B80&amp;Table4[[#This Row],[Tipo Servicio]]</f>
        <v>EDO DE MEXICOMTTO CORRECTIVO RUTA - BARRIL</v>
      </c>
      <c r="B80" t="s">
        <v>74</v>
      </c>
      <c r="C80" t="s">
        <v>203</v>
      </c>
      <c r="D80" t="s">
        <v>47</v>
      </c>
      <c r="F80" s="56" t="s">
        <v>29</v>
      </c>
      <c r="G80" t="s">
        <v>201</v>
      </c>
    </row>
    <row r="81" spans="1:7">
      <c r="A81" t="str">
        <f>B81&amp;Table4[[#This Row],[Tipo Servicio]]</f>
        <v>EDO DE MEXICOMTTO CORRECTIVO RUTA - ENFRIADOR</v>
      </c>
      <c r="B81" t="s">
        <v>74</v>
      </c>
      <c r="C81" t="s">
        <v>204</v>
      </c>
      <c r="D81" t="s">
        <v>132</v>
      </c>
      <c r="E81" t="s">
        <v>133</v>
      </c>
      <c r="F81" s="56" t="s">
        <v>134</v>
      </c>
      <c r="G81" t="s">
        <v>201</v>
      </c>
    </row>
    <row r="82" spans="1:7">
      <c r="A82" t="str">
        <f>B82&amp;Table4[[#This Row],[Tipo Servicio]]</f>
        <v>EDO DE MEXICOMTTO CORRECTIVO PISO - ENFRIADOR</v>
      </c>
      <c r="B82" t="s">
        <v>74</v>
      </c>
      <c r="C82" t="s">
        <v>204</v>
      </c>
      <c r="D82" t="s">
        <v>132</v>
      </c>
      <c r="E82" t="s">
        <v>135</v>
      </c>
      <c r="F82" s="56" t="s">
        <v>136</v>
      </c>
      <c r="G82" t="s">
        <v>201</v>
      </c>
    </row>
    <row r="83" spans="1:7">
      <c r="A83" t="str">
        <f>B83&amp;Table4[[#This Row],[Tipo Servicio]]</f>
        <v>GRO-MORINSTALACION - ENFRIADOR</v>
      </c>
      <c r="B83" t="s">
        <v>77</v>
      </c>
      <c r="C83" t="s">
        <v>205</v>
      </c>
      <c r="D83" t="s">
        <v>45</v>
      </c>
      <c r="F83" s="56" t="s">
        <v>32</v>
      </c>
      <c r="G83" t="s">
        <v>201</v>
      </c>
    </row>
    <row r="84" spans="1:7">
      <c r="A84" t="str">
        <f>B84&amp;Table4[[#This Row],[Tipo Servicio]]</f>
        <v>GRO-MORCOMPRA TANQUE CO2 - BARRIL</v>
      </c>
      <c r="B84" t="s">
        <v>77</v>
      </c>
      <c r="C84" t="s">
        <v>206</v>
      </c>
      <c r="D84" t="s">
        <v>126</v>
      </c>
      <c r="F84" s="56" t="s">
        <v>28</v>
      </c>
      <c r="G84" t="s">
        <v>201</v>
      </c>
    </row>
    <row r="85" spans="1:7">
      <c r="A85" t="str">
        <f>B85&amp;Table4[[#This Row],[Tipo Servicio]]</f>
        <v>GRO-MORMTTO CORRECTIVO RUTA - BARRIL</v>
      </c>
      <c r="B85" t="s">
        <v>77</v>
      </c>
      <c r="C85" t="s">
        <v>207</v>
      </c>
      <c r="D85" t="s">
        <v>47</v>
      </c>
      <c r="F85" s="56" t="s">
        <v>29</v>
      </c>
      <c r="G85" t="s">
        <v>201</v>
      </c>
    </row>
    <row r="86" spans="1:7">
      <c r="A86" t="str">
        <f>B86&amp;Table4[[#This Row],[Tipo Servicio]]</f>
        <v>GRO-MORMTTO CORRECTIVO RUTA - ENFRIADOR</v>
      </c>
      <c r="B86" t="s">
        <v>77</v>
      </c>
      <c r="C86" t="s">
        <v>208</v>
      </c>
      <c r="D86" t="s">
        <v>132</v>
      </c>
      <c r="E86" t="s">
        <v>133</v>
      </c>
      <c r="F86" s="56" t="s">
        <v>134</v>
      </c>
      <c r="G86" t="s">
        <v>201</v>
      </c>
    </row>
    <row r="87" spans="1:7">
      <c r="A87" t="str">
        <f>B87&amp;Table4[[#This Row],[Tipo Servicio]]</f>
        <v>GRO-MORMTTO CORRECTIVO PISO - ENFRIADOR</v>
      </c>
      <c r="B87" t="s">
        <v>77</v>
      </c>
      <c r="C87" t="s">
        <v>208</v>
      </c>
      <c r="D87" t="s">
        <v>132</v>
      </c>
      <c r="E87" t="s">
        <v>135</v>
      </c>
      <c r="F87" s="56" t="s">
        <v>136</v>
      </c>
      <c r="G87" t="s">
        <v>201</v>
      </c>
    </row>
    <row r="88" spans="1:7">
      <c r="A88" t="str">
        <f>B88&amp;Table4[[#This Row],[Tipo Servicio]]</f>
        <v>FRANQUICIA CHIAPASMTTO CORRECTIVO RUTA - ENFRIADOR</v>
      </c>
      <c r="B88" t="s">
        <v>75</v>
      </c>
      <c r="C88" t="s">
        <v>209</v>
      </c>
      <c r="D88" t="s">
        <v>132</v>
      </c>
      <c r="E88" t="s">
        <v>133</v>
      </c>
      <c r="F88" s="56" t="s">
        <v>134</v>
      </c>
      <c r="G88" t="s">
        <v>176</v>
      </c>
    </row>
    <row r="89" spans="1:7">
      <c r="A89" t="str">
        <f>B89&amp;Table4[[#This Row],[Tipo Servicio]]</f>
        <v>FRANQUICIA CHIAPASMTTO CORRECTIVO PISO - ENFRIADOR</v>
      </c>
      <c r="B89" t="s">
        <v>75</v>
      </c>
      <c r="C89" t="s">
        <v>209</v>
      </c>
      <c r="D89" t="s">
        <v>132</v>
      </c>
      <c r="E89" t="s">
        <v>135</v>
      </c>
      <c r="F89" s="56" t="s">
        <v>136</v>
      </c>
      <c r="G89" t="s">
        <v>176</v>
      </c>
    </row>
    <row r="90" spans="1:7">
      <c r="A90" t="str">
        <f>B90&amp;Table4[[#This Row],[Tipo Servicio]]</f>
        <v>VDMINSTALACION - ENFRIADOR</v>
      </c>
      <c r="B90" t="s">
        <v>96</v>
      </c>
      <c r="C90" t="s">
        <v>210</v>
      </c>
      <c r="D90" t="s">
        <v>45</v>
      </c>
      <c r="F90" s="56" t="s">
        <v>32</v>
      </c>
      <c r="G90" t="str">
        <f>_xlfn.XLOOKUP(Table4[[#This Row],[GZ]],'[1]BASE TRADE'!$R:$R,'[1]BASE TRADE'!$Q:$Q)</f>
        <v>4. Center</v>
      </c>
    </row>
    <row r="91" spans="1:7">
      <c r="A91" t="str">
        <f>B91&amp;Table4[[#This Row],[Tipo Servicio]]</f>
        <v>VDMCOMPRA TANQUE CO2 - BARRIL</v>
      </c>
      <c r="B91" t="s">
        <v>96</v>
      </c>
      <c r="C91" t="s">
        <v>211</v>
      </c>
      <c r="D91" t="s">
        <v>126</v>
      </c>
      <c r="F91" s="56" t="s">
        <v>28</v>
      </c>
      <c r="G91" t="str">
        <f>_xlfn.XLOOKUP(Table4[[#This Row],[GZ]],'[1]BASE TRADE'!$R:$R,'[1]BASE TRADE'!$Q:$Q)</f>
        <v>4. Center</v>
      </c>
    </row>
    <row r="92" spans="1:7">
      <c r="A92" t="str">
        <f>B92&amp;Table4[[#This Row],[Tipo Servicio]]</f>
        <v>VDMMTTO CORRECTIVO RUTA - BARRIL</v>
      </c>
      <c r="B92" t="s">
        <v>96</v>
      </c>
      <c r="C92" t="s">
        <v>212</v>
      </c>
      <c r="D92" t="s">
        <v>47</v>
      </c>
      <c r="F92" s="56" t="s">
        <v>29</v>
      </c>
      <c r="G92" t="str">
        <f>_xlfn.XLOOKUP(Table4[[#This Row],[GZ]],'[1]BASE TRADE'!$R:$R,'[1]BASE TRADE'!$Q:$Q)</f>
        <v>4. Center</v>
      </c>
    </row>
    <row r="93" spans="1:7">
      <c r="A93" t="str">
        <f>B93&amp;Table4[[#This Row],[Tipo Servicio]]</f>
        <v>VDMMTTO CORRECTIVO RUTA - ENFRIADOR</v>
      </c>
      <c r="B93" t="s">
        <v>96</v>
      </c>
      <c r="C93" t="s">
        <v>213</v>
      </c>
      <c r="D93" t="s">
        <v>132</v>
      </c>
      <c r="E93" t="s">
        <v>133</v>
      </c>
      <c r="F93" s="56" t="s">
        <v>134</v>
      </c>
      <c r="G93" t="str">
        <f>_xlfn.XLOOKUP(Table4[[#This Row],[GZ]],'[1]BASE TRADE'!$R:$R,'[1]BASE TRADE'!$Q:$Q)</f>
        <v>4. Center</v>
      </c>
    </row>
    <row r="94" spans="1:7">
      <c r="A94" t="str">
        <f>B94&amp;Table4[[#This Row],[Tipo Servicio]]</f>
        <v>VDMMTTO CORRECTIVO PISO - ENFRIADOR</v>
      </c>
      <c r="B94" t="s">
        <v>96</v>
      </c>
      <c r="C94" t="s">
        <v>213</v>
      </c>
      <c r="D94" t="s">
        <v>132</v>
      </c>
      <c r="E94" t="s">
        <v>135</v>
      </c>
      <c r="F94" s="56" t="s">
        <v>136</v>
      </c>
      <c r="G94" t="str">
        <f>_xlfn.XLOOKUP(Table4[[#This Row],[GZ]],'[1]BASE TRADE'!$R:$R,'[1]BASE TRADE'!$Q:$Q)</f>
        <v>4. Center</v>
      </c>
    </row>
    <row r="95" spans="1:7">
      <c r="A95" t="str">
        <f>B95&amp;Table4[[#This Row],[Tipo Servicio]]</f>
        <v>OAXACAINSTALACION - ENFRIADOR</v>
      </c>
      <c r="B95" t="s">
        <v>84</v>
      </c>
      <c r="C95" t="s">
        <v>214</v>
      </c>
      <c r="D95" t="s">
        <v>45</v>
      </c>
      <c r="E95" t="s">
        <v>32</v>
      </c>
      <c r="F95" s="56" t="s">
        <v>32</v>
      </c>
      <c r="G95" t="str">
        <f>_xlfn.XLOOKUP(Table4[[#This Row],[GZ]],'[1]BASE TRADE'!$R:$R,'[1]BASE TRADE'!$Q:$Q)</f>
        <v>5. Southeast</v>
      </c>
    </row>
    <row r="96" spans="1:7">
      <c r="A96" t="str">
        <f>B96&amp;Table4[[#This Row],[Tipo Servicio]]</f>
        <v>OAXACACOMPRA TANQUE CO2 - BARRIL</v>
      </c>
      <c r="B96" t="s">
        <v>84</v>
      </c>
      <c r="C96" t="s">
        <v>215</v>
      </c>
      <c r="D96" t="s">
        <v>126</v>
      </c>
      <c r="F96" s="56" t="s">
        <v>28</v>
      </c>
      <c r="G96" t="str">
        <f>_xlfn.XLOOKUP(Table4[[#This Row],[GZ]],'[1]BASE TRADE'!$R:$R,'[1]BASE TRADE'!$Q:$Q)</f>
        <v>5. Southeast</v>
      </c>
    </row>
    <row r="97" spans="1:7">
      <c r="A97" t="str">
        <f>B97&amp;Table4[[#This Row],[Tipo Servicio]]</f>
        <v>OAXACAMTTO CORRECTIVO RUTA - BARRIL</v>
      </c>
      <c r="B97" t="s">
        <v>84</v>
      </c>
      <c r="C97" t="s">
        <v>216</v>
      </c>
      <c r="D97" t="s">
        <v>47</v>
      </c>
      <c r="F97" s="56" t="s">
        <v>29</v>
      </c>
      <c r="G97" t="str">
        <f>_xlfn.XLOOKUP(Table4[[#This Row],[GZ]],'[1]BASE TRADE'!$R:$R,'[1]BASE TRADE'!$Q:$Q)</f>
        <v>5. Southeast</v>
      </c>
    </row>
    <row r="98" spans="1:7">
      <c r="A98" t="str">
        <f>B98&amp;Table4[[#This Row],[Tipo Servicio]]</f>
        <v>OAXACAMTTO CORRECTIVO RUTA - ENFRIADOR</v>
      </c>
      <c r="B98" t="s">
        <v>84</v>
      </c>
      <c r="C98" t="s">
        <v>217</v>
      </c>
      <c r="D98" t="s">
        <v>132</v>
      </c>
      <c r="E98" t="s">
        <v>133</v>
      </c>
      <c r="F98" s="56" t="s">
        <v>134</v>
      </c>
      <c r="G98" t="str">
        <f>_xlfn.XLOOKUP(Table4[[#This Row],[GZ]],'[1]BASE TRADE'!$R:$R,'[1]BASE TRADE'!$Q:$Q)</f>
        <v>5. Southeast</v>
      </c>
    </row>
    <row r="99" spans="1:7">
      <c r="A99" t="str">
        <f>B99&amp;Table4[[#This Row],[Tipo Servicio]]</f>
        <v>OAXACAMTTO CORRECTIVO PISO - ENFRIADOR</v>
      </c>
      <c r="B99" t="s">
        <v>84</v>
      </c>
      <c r="C99" t="s">
        <v>217</v>
      </c>
      <c r="D99" t="s">
        <v>132</v>
      </c>
      <c r="E99" t="s">
        <v>135</v>
      </c>
      <c r="F99" s="56" t="s">
        <v>136</v>
      </c>
      <c r="G99" t="str">
        <f>_xlfn.XLOOKUP(Table4[[#This Row],[GZ]],'[1]BASE TRADE'!$R:$R,'[1]BASE TRADE'!$Q:$Q)</f>
        <v>5. Southeast</v>
      </c>
    </row>
    <row r="100" spans="1:7">
      <c r="A100" t="str">
        <f>B100&amp;Table4[[#This Row],[Tipo Servicio]]</f>
        <v>AGS-ZAC-SLPINSTALACION - ENFRIADOR</v>
      </c>
      <c r="B100" t="s">
        <v>61</v>
      </c>
      <c r="C100" t="s">
        <v>218</v>
      </c>
      <c r="D100" t="s">
        <v>45</v>
      </c>
      <c r="F100" s="56" t="s">
        <v>32</v>
      </c>
      <c r="G100" t="s">
        <v>219</v>
      </c>
    </row>
    <row r="101" spans="1:7">
      <c r="A101" t="str">
        <f>B101&amp;Table4[[#This Row],[Tipo Servicio]]</f>
        <v>AGS-ZAC-SLPCOMPRA TANQUE CO2 - BARRIL</v>
      </c>
      <c r="B101" t="s">
        <v>61</v>
      </c>
      <c r="C101" t="s">
        <v>220</v>
      </c>
      <c r="D101" t="s">
        <v>126</v>
      </c>
      <c r="F101" s="56" t="s">
        <v>28</v>
      </c>
      <c r="G101" t="s">
        <v>219</v>
      </c>
    </row>
    <row r="102" spans="1:7">
      <c r="A102" t="str">
        <f>B102&amp;Table4[[#This Row],[Tipo Servicio]]</f>
        <v>AGS-ZAC-SLPMTTO CORRECTIVO RUTA - ENFRIADOR</v>
      </c>
      <c r="B102" t="s">
        <v>61</v>
      </c>
      <c r="C102" t="s">
        <v>221</v>
      </c>
      <c r="D102" t="s">
        <v>132</v>
      </c>
      <c r="E102" t="s">
        <v>133</v>
      </c>
      <c r="F102" s="56" t="s">
        <v>134</v>
      </c>
      <c r="G102" t="s">
        <v>219</v>
      </c>
    </row>
    <row r="103" spans="1:7">
      <c r="A103" t="str">
        <f>B103&amp;Table4[[#This Row],[Tipo Servicio]]</f>
        <v>AGS-ZAC-SLPMTTO CORRECTIVO PISO - ENFRIADOR</v>
      </c>
      <c r="B103" t="s">
        <v>61</v>
      </c>
      <c r="C103" t="s">
        <v>221</v>
      </c>
      <c r="D103" t="s">
        <v>132</v>
      </c>
      <c r="E103" t="s">
        <v>135</v>
      </c>
      <c r="F103" s="56" t="s">
        <v>136</v>
      </c>
      <c r="G103" t="s">
        <v>219</v>
      </c>
    </row>
    <row r="104" spans="1:7">
      <c r="A104" t="str">
        <f>B104&amp;Table4[[#This Row],[Tipo Servicio]]</f>
        <v>AGS-ZAC-SLPMTTO CORRECTIVO RUTA - BARRIL</v>
      </c>
      <c r="B104" t="s">
        <v>61</v>
      </c>
      <c r="C104" t="s">
        <v>222</v>
      </c>
      <c r="D104" t="s">
        <v>47</v>
      </c>
      <c r="F104" s="56" t="s">
        <v>29</v>
      </c>
      <c r="G104" t="s">
        <v>219</v>
      </c>
    </row>
    <row r="105" spans="1:7">
      <c r="A105" t="str">
        <f>B105&amp;Table4[[#This Row],[Tipo Servicio]]</f>
        <v>QRO-GTOCOMPRA TANQUE CO2 - BARRIL</v>
      </c>
      <c r="B105" t="s">
        <v>76</v>
      </c>
      <c r="C105" t="s">
        <v>223</v>
      </c>
      <c r="D105" t="s">
        <v>126</v>
      </c>
      <c r="F105" s="56" t="s">
        <v>28</v>
      </c>
      <c r="G105" t="s">
        <v>219</v>
      </c>
    </row>
    <row r="106" spans="1:7">
      <c r="A106" t="str">
        <f>B106&amp;Table4[[#This Row],[Tipo Servicio]]</f>
        <v>QRO-GTOMTTO CORRECTIVO RUTA - BARRIL</v>
      </c>
      <c r="B106" t="s">
        <v>76</v>
      </c>
      <c r="C106" t="s">
        <v>224</v>
      </c>
      <c r="D106" t="s">
        <v>47</v>
      </c>
      <c r="F106" s="56" t="s">
        <v>29</v>
      </c>
      <c r="G106" t="s">
        <v>219</v>
      </c>
    </row>
    <row r="107" spans="1:7">
      <c r="A107" t="str">
        <f>B107&amp;Table4[[#This Row],[Tipo Servicio]]</f>
        <v>QRO-GTOMTTO CORRECTIVO RUTA - CUARTO FRIO</v>
      </c>
      <c r="B107" t="s">
        <v>76</v>
      </c>
      <c r="C107" t="s">
        <v>225</v>
      </c>
      <c r="D107" t="s">
        <v>142</v>
      </c>
      <c r="F107" s="56" t="s">
        <v>143</v>
      </c>
      <c r="G107" t="s">
        <v>219</v>
      </c>
    </row>
    <row r="108" spans="1:7">
      <c r="A108" t="str">
        <f>B108&amp;Table4[[#This Row],[Tipo Servicio]]</f>
        <v>QRO-GTOMTTO CORRECTIVO RUTA - ENFRIADOR</v>
      </c>
      <c r="B108" t="s">
        <v>76</v>
      </c>
      <c r="C108" t="s">
        <v>226</v>
      </c>
      <c r="D108" t="s">
        <v>132</v>
      </c>
      <c r="E108" t="s">
        <v>133</v>
      </c>
      <c r="F108" s="56" t="s">
        <v>134</v>
      </c>
      <c r="G108" t="s">
        <v>219</v>
      </c>
    </row>
    <row r="109" spans="1:7">
      <c r="A109" t="str">
        <f>B109&amp;Table4[[#This Row],[Tipo Servicio]]</f>
        <v>QRO-GTOMTTO CORRECTIVO PISO - ENFRIADOR</v>
      </c>
      <c r="B109" t="s">
        <v>76</v>
      </c>
      <c r="C109" t="s">
        <v>226</v>
      </c>
      <c r="D109" t="s">
        <v>132</v>
      </c>
      <c r="E109" t="s">
        <v>135</v>
      </c>
      <c r="F109" s="56" t="s">
        <v>136</v>
      </c>
      <c r="G109" t="s">
        <v>219</v>
      </c>
    </row>
    <row r="110" spans="1:7">
      <c r="A110" t="str">
        <f>B110&amp;Table4[[#This Row],[Tipo Servicio]]</f>
        <v>QRO-GTOINSTALACION - ENFRIADOR</v>
      </c>
      <c r="B110" t="s">
        <v>76</v>
      </c>
      <c r="C110" t="s">
        <v>227</v>
      </c>
      <c r="D110" t="s">
        <v>45</v>
      </c>
      <c r="F110" s="56" t="s">
        <v>32</v>
      </c>
      <c r="G110" t="s">
        <v>219</v>
      </c>
    </row>
    <row r="111" spans="1:7">
      <c r="A111" t="str">
        <f>B111&amp;Table4[[#This Row],[Tipo Servicio]]</f>
        <v>JALISCO-COLIMA-NAYARITCOMPRA TANQUE CO2 - BARRIL</v>
      </c>
      <c r="B111" t="s">
        <v>80</v>
      </c>
      <c r="C111" t="s">
        <v>228</v>
      </c>
      <c r="D111" t="s">
        <v>126</v>
      </c>
      <c r="F111" s="56" t="s">
        <v>28</v>
      </c>
      <c r="G111" t="s">
        <v>219</v>
      </c>
    </row>
    <row r="112" spans="1:7">
      <c r="A112" t="str">
        <f>B112&amp;Table4[[#This Row],[Tipo Servicio]]</f>
        <v>JALISCO-COLIMA-NAYARITMTTO CORRECTIVO RUTA - BARRIL</v>
      </c>
      <c r="B112" t="s">
        <v>80</v>
      </c>
      <c r="C112" t="s">
        <v>229</v>
      </c>
      <c r="D112" t="s">
        <v>47</v>
      </c>
      <c r="F112" s="56" t="s">
        <v>29</v>
      </c>
      <c r="G112" t="s">
        <v>219</v>
      </c>
    </row>
    <row r="113" spans="1:7">
      <c r="A113" t="str">
        <f>B113&amp;Table4[[#This Row],[Tipo Servicio]]</f>
        <v>JALISCO-COLIMA-NAYARITMTTO CORRECTIVO RUTA - ENFRIADOR</v>
      </c>
      <c r="B113" t="s">
        <v>80</v>
      </c>
      <c r="C113" t="s">
        <v>230</v>
      </c>
      <c r="D113" t="s">
        <v>132</v>
      </c>
      <c r="E113" t="s">
        <v>133</v>
      </c>
      <c r="F113" s="56" t="s">
        <v>134</v>
      </c>
      <c r="G113" t="s">
        <v>219</v>
      </c>
    </row>
    <row r="114" spans="1:7">
      <c r="A114" t="str">
        <f>B114&amp;Table4[[#This Row],[Tipo Servicio]]</f>
        <v>JALISCO-COLIMA-NAYARITMTTO CORRECTIVO PISO - ENFRIADOR</v>
      </c>
      <c r="B114" t="s">
        <v>80</v>
      </c>
      <c r="C114" t="s">
        <v>230</v>
      </c>
      <c r="D114" t="s">
        <v>132</v>
      </c>
      <c r="E114" t="s">
        <v>135</v>
      </c>
      <c r="F114" s="56" t="s">
        <v>136</v>
      </c>
      <c r="G114" t="s">
        <v>219</v>
      </c>
    </row>
    <row r="115" spans="1:7">
      <c r="A115" t="str">
        <f>B115&amp;Table4[[#This Row],[Tipo Servicio]]</f>
        <v>JALISCO-COLIMA-NAYARITINSTALACION - ENFRIADOR</v>
      </c>
      <c r="B115" t="s">
        <v>80</v>
      </c>
      <c r="C115" t="s">
        <v>231</v>
      </c>
      <c r="D115" t="s">
        <v>45</v>
      </c>
      <c r="F115" s="56" t="s">
        <v>32</v>
      </c>
      <c r="G115" t="s">
        <v>219</v>
      </c>
    </row>
    <row r="116" spans="1:7">
      <c r="A116" t="str">
        <f>B116&amp;Table4[[#This Row],[Tipo Servicio]]</f>
        <v>DURANGOINSTALACION - ENFRIADOR</v>
      </c>
      <c r="B116" t="s">
        <v>73</v>
      </c>
      <c r="C116" t="s">
        <v>232</v>
      </c>
      <c r="D116" t="s">
        <v>45</v>
      </c>
      <c r="F116" s="56" t="s">
        <v>32</v>
      </c>
      <c r="G116" t="str">
        <f>_xlfn.XLOOKUP(Table4[[#This Row],[GZ]],'[1]BASE TRADE'!$R:$R,'[1]BASE TRADE'!$Q:$Q)</f>
        <v>2. Northeast</v>
      </c>
    </row>
    <row r="117" spans="1:7">
      <c r="A117" t="str">
        <f>B117&amp;Table4[[#This Row],[Tipo Servicio]]</f>
        <v>DURANGOCOMPRA TANQUE CO2 - BARRIL</v>
      </c>
      <c r="B117" t="s">
        <v>73</v>
      </c>
      <c r="C117" t="s">
        <v>233</v>
      </c>
      <c r="D117" t="s">
        <v>126</v>
      </c>
      <c r="F117" s="56" t="s">
        <v>28</v>
      </c>
      <c r="G117" t="str">
        <f>_xlfn.XLOOKUP(Table4[[#This Row],[GZ]],'[1]BASE TRADE'!$R:$R,'[1]BASE TRADE'!$Q:$Q)</f>
        <v>2. Northeast</v>
      </c>
    </row>
    <row r="118" spans="1:7">
      <c r="A118" t="str">
        <f>B118&amp;Table4[[#This Row],[Tipo Servicio]]</f>
        <v>DURANGOMTTO CORRECTIVO RUTA - BARRIL</v>
      </c>
      <c r="B118" t="s">
        <v>73</v>
      </c>
      <c r="C118" t="s">
        <v>234</v>
      </c>
      <c r="D118" t="s">
        <v>47</v>
      </c>
      <c r="F118" s="56" t="s">
        <v>29</v>
      </c>
      <c r="G118" t="str">
        <f>_xlfn.XLOOKUP(Table4[[#This Row],[GZ]],'[1]BASE TRADE'!$R:$R,'[1]BASE TRADE'!$Q:$Q)</f>
        <v>2. Northeast</v>
      </c>
    </row>
    <row r="119" spans="1:7">
      <c r="A119" t="str">
        <f>B119&amp;Table4[[#This Row],[Tipo Servicio]]</f>
        <v>DURANGOMTTO CORRECTIVO RUTA - MAQUINA HIELO</v>
      </c>
      <c r="B119" t="s">
        <v>73</v>
      </c>
      <c r="C119" t="s">
        <v>235</v>
      </c>
      <c r="D119" t="s">
        <v>128</v>
      </c>
      <c r="F119" s="56" t="s">
        <v>129</v>
      </c>
      <c r="G119" t="str">
        <f>_xlfn.XLOOKUP(Table4[[#This Row],[GZ]],'[1]BASE TRADE'!$R:$R,'[1]BASE TRADE'!$Q:$Q)</f>
        <v>2. Northeast</v>
      </c>
    </row>
    <row r="120" spans="1:7">
      <c r="A120" t="str">
        <f>B120&amp;Table4[[#This Row],[Tipo Servicio]]</f>
        <v>DURANGOMTTO CORRECTIVO RUTA - ENFRIADOR</v>
      </c>
      <c r="B120" t="s">
        <v>73</v>
      </c>
      <c r="C120" t="s">
        <v>236</v>
      </c>
      <c r="D120" t="s">
        <v>132</v>
      </c>
      <c r="E120" t="s">
        <v>133</v>
      </c>
      <c r="F120" s="56" t="s">
        <v>134</v>
      </c>
      <c r="G120" t="str">
        <f>_xlfn.XLOOKUP(Table4[[#This Row],[GZ]],'[1]BASE TRADE'!$R:$R,'[1]BASE TRADE'!$Q:$Q)</f>
        <v>2. Northeast</v>
      </c>
    </row>
    <row r="121" spans="1:7">
      <c r="A121" t="str">
        <f>B121&amp;Table4[[#This Row],[Tipo Servicio]]</f>
        <v>DURANGOMTTO CORRECTIVO PISO - ENFRIADOR</v>
      </c>
      <c r="B121" t="s">
        <v>73</v>
      </c>
      <c r="C121" t="s">
        <v>236</v>
      </c>
      <c r="D121" t="s">
        <v>132</v>
      </c>
      <c r="E121" t="s">
        <v>135</v>
      </c>
      <c r="F121" s="56" t="s">
        <v>136</v>
      </c>
      <c r="G121" t="str">
        <f>_xlfn.XLOOKUP(Table4[[#This Row],[GZ]],'[1]BASE TRADE'!$R:$R,'[1]BASE TRADE'!$Q:$Q)</f>
        <v>2. Northeast</v>
      </c>
    </row>
    <row r="122" spans="1:7">
      <c r="A122" t="str">
        <f>B122&amp;Table4[[#This Row],[Tipo Servicio]]</f>
        <v>TAMAULIPAS SUR-VER NTEINSTALACION - ENFRIADOR</v>
      </c>
      <c r="B122" t="s">
        <v>6</v>
      </c>
      <c r="C122" t="s">
        <v>44</v>
      </c>
      <c r="D122" t="s">
        <v>45</v>
      </c>
      <c r="F122" s="56" t="s">
        <v>32</v>
      </c>
      <c r="G122" t="e">
        <f>_xlfn.XLOOKUP(Table4[[#This Row],[GZ]],'[1]BASE TRADE'!$R:$R,'[1]BASE TRADE'!$Q:$Q)</f>
        <v>#N/A</v>
      </c>
    </row>
    <row r="123" spans="1:7">
      <c r="A123" t="str">
        <f>B123&amp;Table4[[#This Row],[Tipo Servicio]]</f>
        <v>TAMAULIPAS SUR-VER NTEMTTO CORRECTIVO RUTA - BARRIL</v>
      </c>
      <c r="B123" t="s">
        <v>6</v>
      </c>
      <c r="C123" t="s">
        <v>46</v>
      </c>
      <c r="D123" t="s">
        <v>47</v>
      </c>
      <c r="F123" s="56" t="s">
        <v>29</v>
      </c>
      <c r="G123" t="e">
        <f>_xlfn.XLOOKUP(Table4[[#This Row],[GZ]],'[1]BASE TRADE'!$R:$R,'[1]BASE TRADE'!$Q:$Q)</f>
        <v>#N/A</v>
      </c>
    </row>
    <row r="124" spans="1:7">
      <c r="A124" t="str">
        <f>B124&amp;Table4[[#This Row],[Tipo Servicio]]</f>
        <v>TAMAULIPAS SUR-VER NTEMTTO CORRECTIVO RUTA - MAQUINA HIELO</v>
      </c>
      <c r="B124" t="s">
        <v>6</v>
      </c>
      <c r="C124" t="s">
        <v>237</v>
      </c>
      <c r="D124" t="s">
        <v>128</v>
      </c>
      <c r="F124" s="56" t="s">
        <v>129</v>
      </c>
      <c r="G124" t="e">
        <f>_xlfn.XLOOKUP(Table4[[#This Row],[GZ]],'[1]BASE TRADE'!$R:$R,'[1]BASE TRADE'!$Q:$Q)</f>
        <v>#N/A</v>
      </c>
    </row>
    <row r="125" spans="1:7">
      <c r="A125" t="str">
        <f>B125&amp;Table4[[#This Row],[Tipo Servicio]]</f>
        <v>TAMAULIPAS SUR-VER NTEMTTO CORRECTIVO RUTA - ENFRIADOR</v>
      </c>
      <c r="B125" t="s">
        <v>6</v>
      </c>
      <c r="C125" t="s">
        <v>238</v>
      </c>
      <c r="D125" t="s">
        <v>132</v>
      </c>
      <c r="E125" t="s">
        <v>133</v>
      </c>
      <c r="F125" s="56" t="s">
        <v>134</v>
      </c>
      <c r="G125" t="e">
        <f>_xlfn.XLOOKUP(Table4[[#This Row],[GZ]],'[1]BASE TRADE'!$R:$R,'[1]BASE TRADE'!$Q:$Q)</f>
        <v>#N/A</v>
      </c>
    </row>
    <row r="126" spans="1:7">
      <c r="A126" t="str">
        <f>B126&amp;Table4[[#This Row],[Tipo Servicio]]</f>
        <v>TAMAULIPAS SUR-VER NTEMTTO CORRECTIVO PISO - ENFRIADOR</v>
      </c>
      <c r="B126" t="s">
        <v>6</v>
      </c>
      <c r="C126" t="s">
        <v>238</v>
      </c>
      <c r="D126" t="s">
        <v>132</v>
      </c>
      <c r="E126" t="s">
        <v>135</v>
      </c>
      <c r="F126" s="56" t="s">
        <v>136</v>
      </c>
      <c r="G126" t="e">
        <f>_xlfn.XLOOKUP(Table4[[#This Row],[GZ]],'[1]BASE TRADE'!$R:$R,'[1]BASE TRADE'!$Q:$Q)</f>
        <v>#N/A</v>
      </c>
    </row>
    <row r="127" spans="1:7">
      <c r="A127" t="str">
        <f>B127&amp;Table4[[#This Row],[Tipo Servicio]]</f>
        <v>NUEVO LEONINSTALACION - ENFRIADOR</v>
      </c>
      <c r="B127" t="s">
        <v>83</v>
      </c>
      <c r="C127" t="s">
        <v>239</v>
      </c>
      <c r="D127" t="s">
        <v>45</v>
      </c>
      <c r="F127" s="56" t="s">
        <v>32</v>
      </c>
      <c r="G127" t="s">
        <v>240</v>
      </c>
    </row>
    <row r="128" spans="1:7">
      <c r="A128" t="str">
        <f>B128&amp;Table4[[#This Row],[Tipo Servicio]]</f>
        <v>NUEVO LEONCOMPRA TANQUE CO2 - BARRIL</v>
      </c>
      <c r="B128" t="s">
        <v>83</v>
      </c>
      <c r="C128" t="s">
        <v>241</v>
      </c>
      <c r="D128" t="s">
        <v>126</v>
      </c>
      <c r="F128" s="56" t="s">
        <v>28</v>
      </c>
      <c r="G128" t="s">
        <v>240</v>
      </c>
    </row>
    <row r="129" spans="1:7">
      <c r="A129" t="str">
        <f>B129&amp;Table4[[#This Row],[Tipo Servicio]]</f>
        <v>NUEVO LEONMTTO CORRECTIVO RUTA - BARRIL</v>
      </c>
      <c r="B129" t="s">
        <v>83</v>
      </c>
      <c r="C129" t="s">
        <v>242</v>
      </c>
      <c r="D129" t="s">
        <v>47</v>
      </c>
      <c r="F129" s="56" t="s">
        <v>29</v>
      </c>
      <c r="G129" t="s">
        <v>240</v>
      </c>
    </row>
    <row r="130" spans="1:7">
      <c r="A130" t="str">
        <f>B130&amp;Table4[[#This Row],[Tipo Servicio]]</f>
        <v>NUEVO LEONMTTO CORRECTIVO RUTA - MAQUINA HIELO</v>
      </c>
      <c r="B130" t="s">
        <v>83</v>
      </c>
      <c r="C130" t="s">
        <v>243</v>
      </c>
      <c r="D130" t="s">
        <v>128</v>
      </c>
      <c r="F130" s="56" t="s">
        <v>129</v>
      </c>
      <c r="G130" t="s">
        <v>240</v>
      </c>
    </row>
    <row r="131" spans="1:7">
      <c r="A131" t="str">
        <f>B131&amp;Table4[[#This Row],[Tipo Servicio]]</f>
        <v>NUEVO LEONMTTO CORRECTIVO RUTA - ENFRIADOR</v>
      </c>
      <c r="B131" t="s">
        <v>83</v>
      </c>
      <c r="C131" t="s">
        <v>244</v>
      </c>
      <c r="D131" t="s">
        <v>132</v>
      </c>
      <c r="E131" t="s">
        <v>133</v>
      </c>
      <c r="F131" s="56" t="s">
        <v>134</v>
      </c>
      <c r="G131" t="s">
        <v>240</v>
      </c>
    </row>
    <row r="132" spans="1:7">
      <c r="A132" t="str">
        <f>B132&amp;Table4[[#This Row],[Tipo Servicio]]</f>
        <v>NUEVO LEONMTTO CORRECTIVO PISO - ENFRIADOR</v>
      </c>
      <c r="B132" t="s">
        <v>83</v>
      </c>
      <c r="C132" t="s">
        <v>244</v>
      </c>
      <c r="D132" t="s">
        <v>132</v>
      </c>
      <c r="E132" t="s">
        <v>135</v>
      </c>
      <c r="F132" s="56" t="s">
        <v>136</v>
      </c>
      <c r="G132" t="s">
        <v>240</v>
      </c>
    </row>
    <row r="133" spans="1:7">
      <c r="A133" t="str">
        <f>B133&amp;Table4[[#This Row],[Tipo Servicio]]</f>
        <v>TAMAULIPAS NORTEINSTALACION - ENFRIADOR</v>
      </c>
      <c r="B133" t="s">
        <v>94</v>
      </c>
      <c r="C133" t="s">
        <v>245</v>
      </c>
      <c r="D133" t="s">
        <v>45</v>
      </c>
      <c r="F133" s="56" t="s">
        <v>32</v>
      </c>
      <c r="G133" t="s">
        <v>240</v>
      </c>
    </row>
    <row r="134" spans="1:7">
      <c r="A134" t="str">
        <f>B134&amp;Table4[[#This Row],[Tipo Servicio]]</f>
        <v>TAMAULIPAS NORTEMTTO CORRECTIVO RUTA - BARRIL</v>
      </c>
      <c r="B134" t="s">
        <v>94</v>
      </c>
      <c r="C134" t="s">
        <v>246</v>
      </c>
      <c r="D134" t="s">
        <v>47</v>
      </c>
      <c r="F134" s="56" t="s">
        <v>29</v>
      </c>
      <c r="G134" t="s">
        <v>240</v>
      </c>
    </row>
    <row r="135" spans="1:7">
      <c r="A135" t="str">
        <f>B135&amp;Table4[[#This Row],[Tipo Servicio]]</f>
        <v>TAMAULIPAS NORTEMTTO CORRECTIVO RUTA - MAQUINA HIELO</v>
      </c>
      <c r="B135" t="s">
        <v>94</v>
      </c>
      <c r="C135" t="s">
        <v>247</v>
      </c>
      <c r="D135" t="s">
        <v>128</v>
      </c>
      <c r="F135" s="56" t="s">
        <v>129</v>
      </c>
      <c r="G135" t="s">
        <v>240</v>
      </c>
    </row>
    <row r="136" spans="1:7">
      <c r="A136" t="str">
        <f>B136&amp;Table4[[#This Row],[Tipo Servicio]]</f>
        <v>TAMAULIPAS NORTEMTTO CORRECTIVO RUTA - ENFRIADOR</v>
      </c>
      <c r="B136" t="s">
        <v>94</v>
      </c>
      <c r="C136" t="s">
        <v>248</v>
      </c>
      <c r="D136" t="s">
        <v>132</v>
      </c>
      <c r="E136" t="s">
        <v>133</v>
      </c>
      <c r="F136" s="56" t="s">
        <v>134</v>
      </c>
      <c r="G136" t="s">
        <v>240</v>
      </c>
    </row>
    <row r="137" spans="1:7">
      <c r="A137" t="str">
        <f>B137&amp;Table4[[#This Row],[Tipo Servicio]]</f>
        <v>TAMAULIPAS NORTEMTTO CORRECTIVO PISO - ENFRIADOR</v>
      </c>
      <c r="B137" t="s">
        <v>94</v>
      </c>
      <c r="C137" t="s">
        <v>248</v>
      </c>
      <c r="D137" t="s">
        <v>132</v>
      </c>
      <c r="E137" t="s">
        <v>135</v>
      </c>
      <c r="F137" s="56" t="s">
        <v>136</v>
      </c>
      <c r="G137" t="s">
        <v>240</v>
      </c>
    </row>
    <row r="138" spans="1:7">
      <c r="A138" t="e">
        <f>B138&amp;Table4[[#This Row],[Tipo Servicio]]</f>
        <v>#N/A</v>
      </c>
      <c r="B138" t="s">
        <v>249</v>
      </c>
      <c r="C138" t="s">
        <v>250</v>
      </c>
      <c r="D138" t="s">
        <v>251</v>
      </c>
      <c r="F138" s="56" t="e">
        <v>#N/A</v>
      </c>
      <c r="G138" t="str">
        <f>_xlfn.XLOOKUP(Table4[[#This Row],[GZ]],'[1]BASE TRADE'!$R:$R,'[1]BASE TRADE'!$Q:$Q)</f>
        <v>6. Staff Trade</v>
      </c>
    </row>
    <row r="139" spans="1:7">
      <c r="A139" t="str">
        <f>B139&amp;Table4[[#This Row],[Tipo Servicio]]</f>
        <v>MICHOACANCOMPRA TANQUE CO2 - BARRIL</v>
      </c>
      <c r="B139" t="s">
        <v>82</v>
      </c>
      <c r="C139" t="s">
        <v>252</v>
      </c>
      <c r="D139" t="s">
        <v>126</v>
      </c>
      <c r="F139" s="56" t="s">
        <v>28</v>
      </c>
      <c r="G139" t="s">
        <v>219</v>
      </c>
    </row>
    <row r="140" spans="1:7">
      <c r="A140" t="str">
        <f>B140&amp;Table4[[#This Row],[Tipo Servicio]]</f>
        <v>MICHOACANMTTO CORRECTIVO RUTA - BARRIL</v>
      </c>
      <c r="B140" t="s">
        <v>82</v>
      </c>
      <c r="C140" t="s">
        <v>253</v>
      </c>
      <c r="D140" t="s">
        <v>47</v>
      </c>
      <c r="F140" s="56" t="s">
        <v>29</v>
      </c>
      <c r="G140" t="s">
        <v>219</v>
      </c>
    </row>
    <row r="141" spans="1:7">
      <c r="A141" t="str">
        <f>B141&amp;Table4[[#This Row],[Tipo Servicio]]</f>
        <v>MICHOACANMTTO CORRECTIVO RUTA - ENFRIADOR</v>
      </c>
      <c r="B141" t="s">
        <v>82</v>
      </c>
      <c r="C141" t="s">
        <v>254</v>
      </c>
      <c r="D141" t="s">
        <v>132</v>
      </c>
      <c r="E141" t="s">
        <v>133</v>
      </c>
      <c r="F141" s="56" t="s">
        <v>134</v>
      </c>
      <c r="G141" t="s">
        <v>219</v>
      </c>
    </row>
    <row r="142" spans="1:7">
      <c r="A142" t="str">
        <f>B142&amp;Table4[[#This Row],[Tipo Servicio]]</f>
        <v>MICHOACANMTTO CORRECTIVO PISO - ENFRIADOR</v>
      </c>
      <c r="B142" t="s">
        <v>82</v>
      </c>
      <c r="C142" t="s">
        <v>254</v>
      </c>
      <c r="D142" t="s">
        <v>132</v>
      </c>
      <c r="E142" t="s">
        <v>135</v>
      </c>
      <c r="F142" s="56" t="s">
        <v>136</v>
      </c>
      <c r="G142" t="s">
        <v>219</v>
      </c>
    </row>
    <row r="143" spans="1:7">
      <c r="A143" t="str">
        <f>B143&amp;Table4[[#This Row],[Tipo Servicio]]</f>
        <v>MICHOACANINSTALACION - ENFRIADOR</v>
      </c>
      <c r="B143" t="s">
        <v>82</v>
      </c>
      <c r="C143" t="s">
        <v>255</v>
      </c>
      <c r="D143" t="s">
        <v>45</v>
      </c>
      <c r="F143" s="56" t="s">
        <v>32</v>
      </c>
      <c r="G143" t="s">
        <v>219</v>
      </c>
    </row>
    <row r="144" spans="1:7">
      <c r="A144" t="str">
        <f>B144&amp;Table4[[#This Row],[Tipo Servicio]]</f>
        <v>JALISCO-COLIMA-NAYARITMTTO CORRECTIVO RUTA - MAQUINA HIELO</v>
      </c>
      <c r="B144" t="s">
        <v>80</v>
      </c>
      <c r="C144" t="s">
        <v>256</v>
      </c>
      <c r="D144" t="s">
        <v>128</v>
      </c>
      <c r="F144" s="56" t="s">
        <v>129</v>
      </c>
      <c r="G144" t="s">
        <v>219</v>
      </c>
    </row>
    <row r="145" spans="1:7">
      <c r="A145" t="str">
        <f>B145&amp;Table4[[#This Row],[Tipo Servicio]]</f>
        <v>NUEVO LEONMTTO CORRECTIVO RUTA - CUARTO FRIO</v>
      </c>
      <c r="B145" t="s">
        <v>83</v>
      </c>
      <c r="C145" t="s">
        <v>257</v>
      </c>
      <c r="D145" t="s">
        <v>142</v>
      </c>
      <c r="F145" s="56" t="s">
        <v>143</v>
      </c>
      <c r="G145" t="s">
        <v>240</v>
      </c>
    </row>
    <row r="146" spans="1:7">
      <c r="A146" t="str">
        <f>B146&amp;Table4[[#This Row],[Tipo Servicio]]</f>
        <v>TAMAULIPAS NORTEMTTO CORRECTIVO RUTA - CUARTO FRIO</v>
      </c>
      <c r="B146" t="s">
        <v>94</v>
      </c>
      <c r="C146" t="s">
        <v>258</v>
      </c>
      <c r="D146" t="s">
        <v>142</v>
      </c>
      <c r="F146" s="56" t="s">
        <v>143</v>
      </c>
      <c r="G146" t="s">
        <v>240</v>
      </c>
    </row>
    <row r="147" spans="1:7">
      <c r="A147" t="str">
        <f>B147&amp;Table4[[#This Row],[Tipo Servicio]]</f>
        <v>OAXACAMTTO CORRECTIVO RUTA - MAQUINA HIELO</v>
      </c>
      <c r="B147" t="s">
        <v>84</v>
      </c>
      <c r="C147" t="s">
        <v>259</v>
      </c>
      <c r="D147" t="s">
        <v>128</v>
      </c>
      <c r="F147" s="56" t="s">
        <v>129</v>
      </c>
      <c r="G147" t="str">
        <f>_xlfn.XLOOKUP(Table4[[#This Row],[GZ]],'[1]BASE TRADE'!$R:$R,'[1]BASE TRADE'!$Q:$Q)</f>
        <v>5. Southeast</v>
      </c>
    </row>
    <row r="148" spans="1:7">
      <c r="A148" t="str">
        <f>B148&amp;Table4[[#This Row],[Tipo Servicio]]</f>
        <v>QRO-GTOMTTO CORRECTIVO RUTA - MAQUINA HIELO</v>
      </c>
      <c r="B148" t="s">
        <v>76</v>
      </c>
      <c r="C148" t="s">
        <v>260</v>
      </c>
      <c r="D148" t="s">
        <v>128</v>
      </c>
      <c r="F148" s="56" t="s">
        <v>129</v>
      </c>
      <c r="G148" t="s">
        <v>219</v>
      </c>
    </row>
    <row r="149" spans="1:7">
      <c r="A149" t="str">
        <f>B149&amp;Table4[[#This Row],[Tipo Servicio]]</f>
        <v>VERACRUZ CENTROMTTO CORRECTIVO RUTA - MAQUINA HIELO</v>
      </c>
      <c r="B149" t="s">
        <v>98</v>
      </c>
      <c r="C149" t="s">
        <v>261</v>
      </c>
      <c r="D149" t="s">
        <v>128</v>
      </c>
      <c r="F149" s="56" t="s">
        <v>129</v>
      </c>
      <c r="G149" t="str">
        <f>_xlfn.XLOOKUP(Table4[[#This Row],[GZ]],'[1]BASE TRADE'!$R:$R,'[1]BASE TRADE'!$Q:$Q)</f>
        <v>5. Southeast</v>
      </c>
    </row>
    <row r="150" spans="1:7">
      <c r="A150" t="str">
        <f>B150&amp;Table4[[#This Row],[Tipo Servicio]]</f>
        <v>QROOMTTO CORRECTIVO RUTA - MAQUINA HIELO</v>
      </c>
      <c r="B150" t="s">
        <v>86</v>
      </c>
      <c r="C150" t="s">
        <v>262</v>
      </c>
      <c r="D150" t="s">
        <v>128</v>
      </c>
      <c r="F150" s="56" t="s">
        <v>129</v>
      </c>
      <c r="G150" t="s">
        <v>176</v>
      </c>
    </row>
    <row r="151" spans="1:7">
      <c r="A151" t="str">
        <f>B151&amp;Table4[[#This Row],[Tipo Servicio]]</f>
        <v>AGS-ZAC-SLPMTTO CORRECTIVO RUTA - MAQUINA HIELO</v>
      </c>
      <c r="B151" t="s">
        <v>61</v>
      </c>
      <c r="C151" t="s">
        <v>263</v>
      </c>
      <c r="D151" t="s">
        <v>128</v>
      </c>
      <c r="F151" s="56" t="s">
        <v>129</v>
      </c>
      <c r="G151" t="s">
        <v>219</v>
      </c>
    </row>
    <row r="152" spans="1:7">
      <c r="A152" t="str">
        <f>B152&amp;Table4[[#This Row],[Tipo Servicio]]</f>
        <v>TABASCO-VER SURMTTO CORRECTIVO RUTA - MAQUINA HIELO</v>
      </c>
      <c r="B152" t="s">
        <v>92</v>
      </c>
      <c r="C152" t="s">
        <v>264</v>
      </c>
      <c r="D152" t="s">
        <v>128</v>
      </c>
      <c r="F152" s="56" t="s">
        <v>129</v>
      </c>
      <c r="G152" t="s">
        <v>176</v>
      </c>
    </row>
    <row r="153" spans="1:7">
      <c r="A153" t="str">
        <f>B153&amp;Table4[[#This Row],[Tipo Servicio]]</f>
        <v>AGS-ZAC-SLPFLETE MOV GZ A GZ - ENFRIADOR</v>
      </c>
      <c r="B153" t="s">
        <v>61</v>
      </c>
      <c r="C153" s="36" t="s">
        <v>49</v>
      </c>
      <c r="D153" t="s">
        <v>50</v>
      </c>
      <c r="F153" s="56" t="s">
        <v>30</v>
      </c>
      <c r="G153" t="s">
        <v>219</v>
      </c>
    </row>
    <row r="154" spans="1:7">
      <c r="A154" t="str">
        <f>B154&amp;Table4[[#This Row],[Tipo Servicio]]</f>
        <v>BCNFLETE MOV GZ A GZ - ENFRIADOR</v>
      </c>
      <c r="B154" t="s">
        <v>64</v>
      </c>
      <c r="C154" s="36" t="s">
        <v>49</v>
      </c>
      <c r="D154" t="s">
        <v>50</v>
      </c>
      <c r="F154" s="56" t="s">
        <v>30</v>
      </c>
      <c r="G154" t="s">
        <v>139</v>
      </c>
    </row>
    <row r="155" spans="1:7">
      <c r="A155" t="str">
        <f>B155&amp;Table4[[#This Row],[Tipo Servicio]]</f>
        <v>BCSFLETE MOV GZ A GZ - ENFRIADOR</v>
      </c>
      <c r="B155" t="s">
        <v>67</v>
      </c>
      <c r="C155" s="36" t="s">
        <v>49</v>
      </c>
      <c r="D155" t="s">
        <v>50</v>
      </c>
      <c r="F155" s="56" t="s">
        <v>30</v>
      </c>
      <c r="G155" t="s">
        <v>139</v>
      </c>
    </row>
    <row r="156" spans="1:7">
      <c r="A156" t="str">
        <f>B156&amp;Table4[[#This Row],[Tipo Servicio]]</f>
        <v>CHIHUAHUAFLETE MOV GZ A GZ - ENFRIADOR</v>
      </c>
      <c r="B156" t="s">
        <v>70</v>
      </c>
      <c r="C156" s="36" t="s">
        <v>49</v>
      </c>
      <c r="D156" t="s">
        <v>50</v>
      </c>
      <c r="F156" s="56" t="s">
        <v>30</v>
      </c>
      <c r="G156" t="str">
        <f>_xlfn.XLOOKUP(Table4[[#This Row],[GZ]],'[1]BASE TRADE'!$R:$R,'[1]BASE TRADE'!$Q:$Q)</f>
        <v>1. Northwest</v>
      </c>
    </row>
    <row r="157" spans="1:7">
      <c r="A157" t="str">
        <f>B157&amp;Table4[[#This Row],[Tipo Servicio]]</f>
        <v>COAHUILAFLETE MOV GZ A GZ - ENFRIADOR</v>
      </c>
      <c r="B157" t="s">
        <v>72</v>
      </c>
      <c r="C157" s="36" t="s">
        <v>49</v>
      </c>
      <c r="D157" t="s">
        <v>50</v>
      </c>
      <c r="F157" s="56" t="s">
        <v>30</v>
      </c>
      <c r="G157" t="str">
        <f>_xlfn.XLOOKUP(Table4[[#This Row],[GZ]],'[1]BASE TRADE'!$R:$R,'[1]BASE TRADE'!$Q:$Q)</f>
        <v>2. Northeast</v>
      </c>
    </row>
    <row r="158" spans="1:7">
      <c r="A158" t="str">
        <f>B158&amp;Table4[[#This Row],[Tipo Servicio]]</f>
        <v>DURANGOFLETE MOV GZ A GZ - ENFRIADOR</v>
      </c>
      <c r="B158" t="s">
        <v>73</v>
      </c>
      <c r="C158" s="36" t="s">
        <v>49</v>
      </c>
      <c r="D158" t="s">
        <v>50</v>
      </c>
      <c r="F158" s="56" t="s">
        <v>30</v>
      </c>
      <c r="G158" t="str">
        <f>_xlfn.XLOOKUP(Table4[[#This Row],[GZ]],'[1]BASE TRADE'!$R:$R,'[1]BASE TRADE'!$Q:$Q)</f>
        <v>2. Northeast</v>
      </c>
    </row>
    <row r="159" spans="1:7">
      <c r="A159" t="str">
        <f>B159&amp;Table4[[#This Row],[Tipo Servicio]]</f>
        <v>EDO DE MEXICOFLETE MOV GZ A GZ - ENFRIADOR</v>
      </c>
      <c r="B159" t="s">
        <v>74</v>
      </c>
      <c r="C159" s="36" t="s">
        <v>49</v>
      </c>
      <c r="D159" t="s">
        <v>50</v>
      </c>
      <c r="F159" s="56" t="s">
        <v>30</v>
      </c>
      <c r="G159" t="s">
        <v>201</v>
      </c>
    </row>
    <row r="160" spans="1:7">
      <c r="A160" t="str">
        <f>B160&amp;Table4[[#This Row],[Tipo Servicio]]</f>
        <v>FRANQUICIA CHIAPASFLETE MOV GZ A GZ - ENFRIADOR</v>
      </c>
      <c r="B160" t="s">
        <v>75</v>
      </c>
      <c r="C160" s="36" t="s">
        <v>49</v>
      </c>
      <c r="D160" t="s">
        <v>50</v>
      </c>
      <c r="F160" s="56" t="s">
        <v>30</v>
      </c>
      <c r="G160" t="s">
        <v>176</v>
      </c>
    </row>
    <row r="161" spans="1:7">
      <c r="A161" t="str">
        <f>B161&amp;Table4[[#This Row],[Tipo Servicio]]</f>
        <v>QRO-GTOFLETE MOV GZ A GZ - ENFRIADOR</v>
      </c>
      <c r="B161" t="s">
        <v>76</v>
      </c>
      <c r="C161" s="36" t="s">
        <v>49</v>
      </c>
      <c r="D161" t="s">
        <v>50</v>
      </c>
      <c r="F161" s="56" t="s">
        <v>30</v>
      </c>
      <c r="G161" t="s">
        <v>219</v>
      </c>
    </row>
    <row r="162" spans="1:7">
      <c r="A162" t="str">
        <f>B162&amp;Table4[[#This Row],[Tipo Servicio]]</f>
        <v>GRO-MORFLETE MOV GZ A GZ - ENFRIADOR</v>
      </c>
      <c r="B162" t="s">
        <v>77</v>
      </c>
      <c r="C162" s="36" t="s">
        <v>49</v>
      </c>
      <c r="D162" t="s">
        <v>50</v>
      </c>
      <c r="F162" s="56" t="s">
        <v>30</v>
      </c>
      <c r="G162" t="s">
        <v>201</v>
      </c>
    </row>
    <row r="163" spans="1:7">
      <c r="A163" t="str">
        <f>B163&amp;Table4[[#This Row],[Tipo Servicio]]</f>
        <v>HIDALGOFLETE MOV GZ A GZ - ENFRIADOR</v>
      </c>
      <c r="B163" t="s">
        <v>79</v>
      </c>
      <c r="C163" s="36" t="s">
        <v>49</v>
      </c>
      <c r="D163" t="s">
        <v>50</v>
      </c>
      <c r="F163" s="56" t="s">
        <v>30</v>
      </c>
      <c r="G163" t="str">
        <f>_xlfn.XLOOKUP(Table4[[#This Row],[GZ]],'[1]BASE TRADE'!$R:$R,'[1]BASE TRADE'!$Q:$Q)</f>
        <v>4. Center</v>
      </c>
    </row>
    <row r="164" spans="1:7">
      <c r="A164" t="str">
        <f>B164&amp;Table4[[#This Row],[Tipo Servicio]]</f>
        <v>JALISCO-COLIMA-NAYARITFLETE MOV GZ A GZ - ENFRIADOR</v>
      </c>
      <c r="B164" t="s">
        <v>80</v>
      </c>
      <c r="C164" s="36" t="s">
        <v>49</v>
      </c>
      <c r="D164" t="s">
        <v>50</v>
      </c>
      <c r="F164" s="56" t="s">
        <v>30</v>
      </c>
      <c r="G164" t="s">
        <v>219</v>
      </c>
    </row>
    <row r="165" spans="1:7">
      <c r="A165" t="str">
        <f>B165&amp;Table4[[#This Row],[Tipo Servicio]]</f>
        <v>JUAREZFLETE MOV GZ A GZ - ENFRIADOR</v>
      </c>
      <c r="B165" t="s">
        <v>81</v>
      </c>
      <c r="C165" s="36" t="s">
        <v>49</v>
      </c>
      <c r="D165" t="s">
        <v>50</v>
      </c>
      <c r="F165" s="56" t="s">
        <v>30</v>
      </c>
      <c r="G165" t="s">
        <v>139</v>
      </c>
    </row>
    <row r="166" spans="1:7">
      <c r="A166" t="str">
        <f>B166&amp;Table4[[#This Row],[Tipo Servicio]]</f>
        <v>MICHOACANFLETE MOV GZ A GZ - ENFRIADOR</v>
      </c>
      <c r="B166" t="s">
        <v>82</v>
      </c>
      <c r="C166" s="36" t="s">
        <v>49</v>
      </c>
      <c r="D166" t="s">
        <v>50</v>
      </c>
      <c r="F166" s="56" t="s">
        <v>30</v>
      </c>
      <c r="G166" t="s">
        <v>219</v>
      </c>
    </row>
    <row r="167" spans="1:7">
      <c r="A167" t="str">
        <f>B167&amp;Table4[[#This Row],[Tipo Servicio]]</f>
        <v>NUEVO LEONFLETE MOV GZ A GZ - ENFRIADOR</v>
      </c>
      <c r="B167" t="s">
        <v>83</v>
      </c>
      <c r="C167" s="36" t="s">
        <v>49</v>
      </c>
      <c r="D167" t="s">
        <v>50</v>
      </c>
      <c r="F167" s="56" t="s">
        <v>30</v>
      </c>
      <c r="G167" t="s">
        <v>240</v>
      </c>
    </row>
    <row r="168" spans="1:7">
      <c r="A168" t="str">
        <f>B168&amp;Table4[[#This Row],[Tipo Servicio]]</f>
        <v>OAXACAFLETE MOV GZ A GZ - ENFRIADOR</v>
      </c>
      <c r="B168" t="s">
        <v>84</v>
      </c>
      <c r="C168" s="36" t="s">
        <v>49</v>
      </c>
      <c r="D168" t="s">
        <v>50</v>
      </c>
      <c r="F168" s="56" t="s">
        <v>30</v>
      </c>
      <c r="G168" t="str">
        <f>_xlfn.XLOOKUP(Table4[[#This Row],[GZ]],'[1]BASE TRADE'!$R:$R,'[1]BASE TRADE'!$Q:$Q)</f>
        <v>5. Southeast</v>
      </c>
    </row>
    <row r="169" spans="1:7">
      <c r="A169" t="str">
        <f>B169&amp;Table4[[#This Row],[Tipo Servicio]]</f>
        <v>PUEBLA-TLAXCALAFLETE MOV GZ A GZ - ENFRIADOR</v>
      </c>
      <c r="B169" t="s">
        <v>85</v>
      </c>
      <c r="C169" s="36" t="s">
        <v>49</v>
      </c>
      <c r="D169" t="s">
        <v>50</v>
      </c>
      <c r="F169" s="56" t="s">
        <v>30</v>
      </c>
      <c r="G169" t="e">
        <f>_xlfn.XLOOKUP(Table4[[#This Row],[GZ]],'[1]BASE TRADE'!$R:$R,'[1]BASE TRADE'!$Q:$Q)</f>
        <v>#N/A</v>
      </c>
    </row>
    <row r="170" spans="1:7">
      <c r="A170" t="str">
        <f>B170&amp;Table4[[#This Row],[Tipo Servicio]]</f>
        <v>QROOFLETE MOV GZ A GZ - ENFRIADOR</v>
      </c>
      <c r="B170" t="s">
        <v>86</v>
      </c>
      <c r="C170" s="36" t="s">
        <v>49</v>
      </c>
      <c r="D170" t="s">
        <v>50</v>
      </c>
      <c r="F170" s="56" t="s">
        <v>30</v>
      </c>
      <c r="G170" t="s">
        <v>176</v>
      </c>
    </row>
    <row r="171" spans="1:7">
      <c r="A171" t="str">
        <f>B171&amp;Table4[[#This Row],[Tipo Servicio]]</f>
        <v>SINALOAFLETE MOV GZ A GZ - ENFRIADOR</v>
      </c>
      <c r="B171" t="s">
        <v>88</v>
      </c>
      <c r="C171" s="36" t="s">
        <v>49</v>
      </c>
      <c r="D171" t="s">
        <v>50</v>
      </c>
      <c r="F171" s="56" t="s">
        <v>30</v>
      </c>
      <c r="G171" t="str">
        <f>_xlfn.XLOOKUP(Table4[[#This Row],[GZ]],'[1]BASE TRADE'!$R:$R,'[1]BASE TRADE'!$Q:$Q)</f>
        <v>1. Northwest</v>
      </c>
    </row>
    <row r="172" spans="1:7">
      <c r="A172" t="str">
        <f>B172&amp;Table4[[#This Row],[Tipo Servicio]]</f>
        <v>SONORAFLETE MOV GZ A GZ - ENFRIADOR</v>
      </c>
      <c r="B172" t="s">
        <v>90</v>
      </c>
      <c r="C172" s="36" t="s">
        <v>49</v>
      </c>
      <c r="D172" t="s">
        <v>50</v>
      </c>
      <c r="F172" s="56" t="s">
        <v>30</v>
      </c>
      <c r="G172" t="str">
        <f>_xlfn.XLOOKUP(Table4[[#This Row],[GZ]],'[1]BASE TRADE'!$R:$R,'[1]BASE TRADE'!$Q:$Q)</f>
        <v>1. Northwest</v>
      </c>
    </row>
    <row r="173" spans="1:7">
      <c r="A173" t="str">
        <f>B173&amp;Table4[[#This Row],[Tipo Servicio]]</f>
        <v>TABASCO-VER SURFLETE MOV GZ A GZ - ENFRIADOR</v>
      </c>
      <c r="B173" t="s">
        <v>92</v>
      </c>
      <c r="C173" s="36" t="s">
        <v>49</v>
      </c>
      <c r="D173" t="s">
        <v>50</v>
      </c>
      <c r="F173" s="56" t="s">
        <v>30</v>
      </c>
      <c r="G173" t="s">
        <v>176</v>
      </c>
    </row>
    <row r="174" spans="1:7">
      <c r="A174" t="str">
        <f>B174&amp;Table4[[#This Row],[Tipo Servicio]]</f>
        <v>TAMAULIPAS NORTEFLETE MOV GZ A GZ - ENFRIADOR</v>
      </c>
      <c r="B174" t="s">
        <v>94</v>
      </c>
      <c r="C174" s="36" t="s">
        <v>49</v>
      </c>
      <c r="D174" t="s">
        <v>50</v>
      </c>
      <c r="F174" s="56" t="s">
        <v>30</v>
      </c>
      <c r="G174" t="s">
        <v>240</v>
      </c>
    </row>
    <row r="175" spans="1:7">
      <c r="A175" t="str">
        <f>B175&amp;Table4[[#This Row],[Tipo Servicio]]</f>
        <v>TAMAULIPAS SUR-VER NTEFLETE MOV GZ A GZ - ENFRIADOR</v>
      </c>
      <c r="B175" t="s">
        <v>6</v>
      </c>
      <c r="C175" s="36" t="s">
        <v>49</v>
      </c>
      <c r="D175" t="s">
        <v>50</v>
      </c>
      <c r="F175" s="56" t="s">
        <v>30</v>
      </c>
      <c r="G175" t="e">
        <f>_xlfn.XLOOKUP(Table4[[#This Row],[GZ]],'[1]BASE TRADE'!$R:$R,'[1]BASE TRADE'!$Q:$Q)</f>
        <v>#N/A</v>
      </c>
    </row>
    <row r="176" spans="1:7">
      <c r="A176" t="str">
        <f>B176&amp;Table4[[#This Row],[Tipo Servicio]]</f>
        <v>VDMFLETE MOV GZ A GZ - ENFRIADOR</v>
      </c>
      <c r="B176" t="s">
        <v>96</v>
      </c>
      <c r="C176" s="36" t="s">
        <v>49</v>
      </c>
      <c r="D176" t="s">
        <v>50</v>
      </c>
      <c r="F176" s="56" t="s">
        <v>30</v>
      </c>
      <c r="G176" t="str">
        <f>_xlfn.XLOOKUP(Table4[[#This Row],[GZ]],'[1]BASE TRADE'!$R:$R,'[1]BASE TRADE'!$Q:$Q)</f>
        <v>4. Center</v>
      </c>
    </row>
    <row r="177" spans="1:7">
      <c r="A177" t="str">
        <f>B177&amp;Table4[[#This Row],[Tipo Servicio]]</f>
        <v>VERACRUZ CENTROFLETE MOV GZ A GZ - ENFRIADOR</v>
      </c>
      <c r="B177" t="s">
        <v>98</v>
      </c>
      <c r="C177" s="36" t="s">
        <v>49</v>
      </c>
      <c r="D177" t="s">
        <v>50</v>
      </c>
      <c r="F177" s="56" t="s">
        <v>30</v>
      </c>
      <c r="G177" t="str">
        <f>_xlfn.XLOOKUP(Table4[[#This Row],[GZ]],'[1]BASE TRADE'!$R:$R,'[1]BASE TRADE'!$Q:$Q)</f>
        <v>5. Southeast</v>
      </c>
    </row>
    <row r="178" spans="1:7">
      <c r="A178" t="str">
        <f>B178&amp;Table4[[#This Row],[Tipo Servicio]]</f>
        <v>YUCAMFLETE MOV GZ A GZ - ENFRIADOR</v>
      </c>
      <c r="B178" t="s">
        <v>100</v>
      </c>
      <c r="C178" s="36" t="s">
        <v>49</v>
      </c>
      <c r="D178" t="s">
        <v>50</v>
      </c>
      <c r="F178" s="56" t="s">
        <v>30</v>
      </c>
      <c r="G178" t="s">
        <v>176</v>
      </c>
    </row>
    <row r="179" spans="1:7">
      <c r="A179" t="e">
        <f>B179&amp;Table4[[#This Row],[Tipo Servicio]]</f>
        <v>#N/A</v>
      </c>
      <c r="B179" t="s">
        <v>249</v>
      </c>
      <c r="C179" s="36" t="s">
        <v>265</v>
      </c>
      <c r="D179" t="s">
        <v>266</v>
      </c>
      <c r="F179" s="56" t="e">
        <v>#N/A</v>
      </c>
      <c r="G179" t="str">
        <f>_xlfn.XLOOKUP(Table4[[#This Row],[GZ]],'[1]BASE TRADE'!$R:$R,'[1]BASE TRADE'!$Q:$Q)</f>
        <v>6. Staff Trade</v>
      </c>
    </row>
    <row r="180" spans="1:7">
      <c r="A180" t="str">
        <f>B180&amp;Table4[[#This Row],[Tipo Servicio]]</f>
        <v>NUEVO LEONDOOR TO DOOR - ALMACENAMIENTO</v>
      </c>
      <c r="B180" t="s">
        <v>83</v>
      </c>
      <c r="C180" s="36" t="s">
        <v>267</v>
      </c>
      <c r="D180" t="s">
        <v>103</v>
      </c>
      <c r="E180" t="s">
        <v>103</v>
      </c>
      <c r="F180" s="56" t="s">
        <v>268</v>
      </c>
      <c r="G180" t="s">
        <v>240</v>
      </c>
    </row>
    <row r="181" spans="1:7">
      <c r="A181" t="str">
        <f>B181&amp;Table4[[#This Row],[Tipo Servicio]]</f>
        <v>AGS-ZAC-SLPFLETE MOV GZ  A GZ - MAQUINA HIELO</v>
      </c>
      <c r="B181" t="s">
        <v>61</v>
      </c>
      <c r="C181" s="36" t="s">
        <v>49</v>
      </c>
      <c r="D181" t="s">
        <v>50</v>
      </c>
      <c r="F181" s="56" t="s">
        <v>269</v>
      </c>
      <c r="G181" t="s">
        <v>219</v>
      </c>
    </row>
    <row r="182" spans="1:7">
      <c r="A182" t="str">
        <f>B182&amp;Table4[[#This Row],[Tipo Servicio]]</f>
        <v>BCNFLETE MOV GZ  A GZ - MAQUINA HIELO</v>
      </c>
      <c r="B182" t="s">
        <v>64</v>
      </c>
      <c r="C182" s="36" t="s">
        <v>49</v>
      </c>
      <c r="D182" t="s">
        <v>50</v>
      </c>
      <c r="F182" s="56" t="s">
        <v>269</v>
      </c>
      <c r="G182" t="s">
        <v>139</v>
      </c>
    </row>
    <row r="183" spans="1:7">
      <c r="A183" t="str">
        <f>B183&amp;Table4[[#This Row],[Tipo Servicio]]</f>
        <v>BCSFLETE MOV GZ  A GZ - MAQUINA HIELO</v>
      </c>
      <c r="B183" t="s">
        <v>67</v>
      </c>
      <c r="C183" s="36" t="s">
        <v>49</v>
      </c>
      <c r="D183" t="s">
        <v>50</v>
      </c>
      <c r="F183" s="56" t="s">
        <v>269</v>
      </c>
      <c r="G183" t="s">
        <v>139</v>
      </c>
    </row>
    <row r="184" spans="1:7">
      <c r="A184" t="str">
        <f>B184&amp;Table4[[#This Row],[Tipo Servicio]]</f>
        <v>CHIHUAHUAFLETE MOV GZ  A GZ - MAQUINA HIELO</v>
      </c>
      <c r="B184" t="s">
        <v>70</v>
      </c>
      <c r="C184" s="36" t="s">
        <v>49</v>
      </c>
      <c r="D184" t="s">
        <v>50</v>
      </c>
      <c r="F184" s="56" t="s">
        <v>269</v>
      </c>
      <c r="G184" t="str">
        <f>_xlfn.XLOOKUP(Table4[[#This Row],[GZ]],'[1]BASE TRADE'!$R:$R,'[1]BASE TRADE'!$Q:$Q)</f>
        <v>1. Northwest</v>
      </c>
    </row>
    <row r="185" spans="1:7">
      <c r="A185" t="str">
        <f>B185&amp;Table4[[#This Row],[Tipo Servicio]]</f>
        <v>COAHUILAFLETE MOV GZ  A GZ - MAQUINA HIELO</v>
      </c>
      <c r="B185" t="s">
        <v>72</v>
      </c>
      <c r="C185" s="36" t="s">
        <v>49</v>
      </c>
      <c r="D185" t="s">
        <v>50</v>
      </c>
      <c r="F185" s="56" t="s">
        <v>269</v>
      </c>
      <c r="G185" t="str">
        <f>_xlfn.XLOOKUP(Table4[[#This Row],[GZ]],'[1]BASE TRADE'!$R:$R,'[1]BASE TRADE'!$Q:$Q)</f>
        <v>2. Northeast</v>
      </c>
    </row>
    <row r="186" spans="1:7">
      <c r="A186" t="str">
        <f>B186&amp;Table4[[#This Row],[Tipo Servicio]]</f>
        <v>DURANGOFLETE MOV GZ  A GZ - MAQUINA HIELO</v>
      </c>
      <c r="B186" t="s">
        <v>73</v>
      </c>
      <c r="C186" s="36" t="s">
        <v>49</v>
      </c>
      <c r="D186" t="s">
        <v>50</v>
      </c>
      <c r="F186" s="56" t="s">
        <v>269</v>
      </c>
      <c r="G186" t="str">
        <f>_xlfn.XLOOKUP(Table4[[#This Row],[GZ]],'[1]BASE TRADE'!$R:$R,'[1]BASE TRADE'!$Q:$Q)</f>
        <v>2. Northeast</v>
      </c>
    </row>
    <row r="187" spans="1:7">
      <c r="A187" t="str">
        <f>B187&amp;Table4[[#This Row],[Tipo Servicio]]</f>
        <v>EDO DE MEXICOFLETE MOV GZ  A GZ - MAQUINA HIELO</v>
      </c>
      <c r="B187" t="s">
        <v>74</v>
      </c>
      <c r="C187" s="36" t="s">
        <v>49</v>
      </c>
      <c r="D187" t="s">
        <v>50</v>
      </c>
      <c r="F187" s="56" t="s">
        <v>269</v>
      </c>
      <c r="G187" t="s">
        <v>201</v>
      </c>
    </row>
    <row r="188" spans="1:7">
      <c r="A188" t="str">
        <f>B188&amp;Table4[[#This Row],[Tipo Servicio]]</f>
        <v>FRANQUICIA CHIAPASFLETE MOV GZ  A GZ - MAQUINA HIELO</v>
      </c>
      <c r="B188" t="s">
        <v>75</v>
      </c>
      <c r="C188" s="36" t="s">
        <v>49</v>
      </c>
      <c r="D188" t="s">
        <v>50</v>
      </c>
      <c r="F188" s="56" t="s">
        <v>269</v>
      </c>
      <c r="G188" t="s">
        <v>176</v>
      </c>
    </row>
    <row r="189" spans="1:7">
      <c r="A189" t="str">
        <f>B189&amp;Table4[[#This Row],[Tipo Servicio]]</f>
        <v>QRO-GTOFLETE MOV GZ  A GZ - MAQUINA HIELO</v>
      </c>
      <c r="B189" t="s">
        <v>76</v>
      </c>
      <c r="C189" s="36" t="s">
        <v>49</v>
      </c>
      <c r="D189" t="s">
        <v>50</v>
      </c>
      <c r="F189" s="56" t="s">
        <v>269</v>
      </c>
      <c r="G189" t="s">
        <v>219</v>
      </c>
    </row>
    <row r="190" spans="1:7">
      <c r="A190" t="str">
        <f>B190&amp;Table4[[#This Row],[Tipo Servicio]]</f>
        <v>GRO-MORFLETE MOV GZ  A GZ - MAQUINA HIELO</v>
      </c>
      <c r="B190" t="s">
        <v>77</v>
      </c>
      <c r="C190" s="36" t="s">
        <v>49</v>
      </c>
      <c r="D190" t="s">
        <v>50</v>
      </c>
      <c r="F190" s="56" t="s">
        <v>269</v>
      </c>
      <c r="G190" t="s">
        <v>201</v>
      </c>
    </row>
    <row r="191" spans="1:7">
      <c r="A191" t="str">
        <f>B191&amp;Table4[[#This Row],[Tipo Servicio]]</f>
        <v>HIDALGOFLETE MOV GZ  A GZ - MAQUINA HIELO</v>
      </c>
      <c r="B191" t="s">
        <v>79</v>
      </c>
      <c r="C191" s="36" t="s">
        <v>49</v>
      </c>
      <c r="D191" t="s">
        <v>50</v>
      </c>
      <c r="F191" s="56" t="s">
        <v>269</v>
      </c>
      <c r="G191" t="str">
        <f>_xlfn.XLOOKUP(Table4[[#This Row],[GZ]],'[1]BASE TRADE'!$R:$R,'[1]BASE TRADE'!$Q:$Q)</f>
        <v>4. Center</v>
      </c>
    </row>
    <row r="192" spans="1:7">
      <c r="A192" t="str">
        <f>B192&amp;Table4[[#This Row],[Tipo Servicio]]</f>
        <v>JALISCO-COLIMA-NAYARITFLETE MOV GZ  A GZ - MAQUINA HIELO</v>
      </c>
      <c r="B192" t="s">
        <v>80</v>
      </c>
      <c r="C192" s="36" t="s">
        <v>49</v>
      </c>
      <c r="D192" t="s">
        <v>50</v>
      </c>
      <c r="F192" s="56" t="s">
        <v>269</v>
      </c>
      <c r="G192" t="s">
        <v>219</v>
      </c>
    </row>
    <row r="193" spans="1:7">
      <c r="A193" t="str">
        <f>B193&amp;Table4[[#This Row],[Tipo Servicio]]</f>
        <v>JUAREZFLETE MOV GZ  A GZ - MAQUINA HIELO</v>
      </c>
      <c r="B193" t="s">
        <v>81</v>
      </c>
      <c r="C193" s="36" t="s">
        <v>49</v>
      </c>
      <c r="D193" t="s">
        <v>50</v>
      </c>
      <c r="F193" s="56" t="s">
        <v>269</v>
      </c>
      <c r="G193" t="s">
        <v>139</v>
      </c>
    </row>
    <row r="194" spans="1:7">
      <c r="A194" t="str">
        <f>B194&amp;Table4[[#This Row],[Tipo Servicio]]</f>
        <v>MICHOACANFLETE MOV GZ  A GZ - MAQUINA HIELO</v>
      </c>
      <c r="B194" t="s">
        <v>82</v>
      </c>
      <c r="C194" s="36" t="s">
        <v>49</v>
      </c>
      <c r="D194" t="s">
        <v>50</v>
      </c>
      <c r="F194" s="56" t="s">
        <v>269</v>
      </c>
      <c r="G194" t="s">
        <v>219</v>
      </c>
    </row>
    <row r="195" spans="1:7">
      <c r="A195" t="str">
        <f>B195&amp;Table4[[#This Row],[Tipo Servicio]]</f>
        <v>NUEVO LEONFLETE MOV GZ  A GZ - MAQUINA HIELO</v>
      </c>
      <c r="B195" t="s">
        <v>83</v>
      </c>
      <c r="C195" s="36" t="s">
        <v>49</v>
      </c>
      <c r="D195" t="s">
        <v>50</v>
      </c>
      <c r="F195" s="56" t="s">
        <v>269</v>
      </c>
      <c r="G195" t="s">
        <v>240</v>
      </c>
    </row>
    <row r="196" spans="1:7">
      <c r="A196" t="str">
        <f>B196&amp;Table4[[#This Row],[Tipo Servicio]]</f>
        <v>OAXACAFLETE MOV GZ  A GZ - MAQUINA HIELO</v>
      </c>
      <c r="B196" t="s">
        <v>84</v>
      </c>
      <c r="C196" s="36" t="s">
        <v>49</v>
      </c>
      <c r="D196" t="s">
        <v>50</v>
      </c>
      <c r="F196" s="56" t="s">
        <v>269</v>
      </c>
      <c r="G196" t="str">
        <f>_xlfn.XLOOKUP(Table4[[#This Row],[GZ]],'[1]BASE TRADE'!$R:$R,'[1]BASE TRADE'!$Q:$Q)</f>
        <v>5. Southeast</v>
      </c>
    </row>
    <row r="197" spans="1:7">
      <c r="A197" t="str">
        <f>B197&amp;Table4[[#This Row],[Tipo Servicio]]</f>
        <v>PUEBLA-TLAXCALAFLETE MOV GZ  A GZ - MAQUINA HIELO</v>
      </c>
      <c r="B197" t="s">
        <v>85</v>
      </c>
      <c r="C197" s="36" t="s">
        <v>49</v>
      </c>
      <c r="D197" t="s">
        <v>50</v>
      </c>
      <c r="F197" s="56" t="s">
        <v>269</v>
      </c>
      <c r="G197" t="e">
        <f>_xlfn.XLOOKUP(Table4[[#This Row],[GZ]],'[1]BASE TRADE'!$R:$R,'[1]BASE TRADE'!$Q:$Q)</f>
        <v>#N/A</v>
      </c>
    </row>
    <row r="198" spans="1:7">
      <c r="A198" t="str">
        <f>B198&amp;Table4[[#This Row],[Tipo Servicio]]</f>
        <v>QROOFLETE MOV GZ  A GZ - MAQUINA HIELO</v>
      </c>
      <c r="B198" t="s">
        <v>86</v>
      </c>
      <c r="C198" s="36" t="s">
        <v>49</v>
      </c>
      <c r="D198" t="s">
        <v>50</v>
      </c>
      <c r="F198" s="56" t="s">
        <v>269</v>
      </c>
      <c r="G198" t="s">
        <v>176</v>
      </c>
    </row>
    <row r="199" spans="1:7">
      <c r="A199" t="str">
        <f>B199&amp;Table4[[#This Row],[Tipo Servicio]]</f>
        <v>SINALOAFLETE MOV GZ  A GZ - MAQUINA HIELO</v>
      </c>
      <c r="B199" t="s">
        <v>88</v>
      </c>
      <c r="C199" s="36" t="s">
        <v>49</v>
      </c>
      <c r="D199" t="s">
        <v>50</v>
      </c>
      <c r="F199" s="56" t="s">
        <v>269</v>
      </c>
      <c r="G199" t="str">
        <f>_xlfn.XLOOKUP(Table4[[#This Row],[GZ]],'[1]BASE TRADE'!$R:$R,'[1]BASE TRADE'!$Q:$Q)</f>
        <v>1. Northwest</v>
      </c>
    </row>
    <row r="200" spans="1:7">
      <c r="A200" t="str">
        <f>B200&amp;Table4[[#This Row],[Tipo Servicio]]</f>
        <v>SONORAFLETE MOV GZ  A GZ - MAQUINA HIELO</v>
      </c>
      <c r="B200" t="s">
        <v>90</v>
      </c>
      <c r="C200" s="36" t="s">
        <v>49</v>
      </c>
      <c r="D200" t="s">
        <v>50</v>
      </c>
      <c r="F200" s="56" t="s">
        <v>269</v>
      </c>
      <c r="G200" t="str">
        <f>_xlfn.XLOOKUP(Table4[[#This Row],[GZ]],'[1]BASE TRADE'!$R:$R,'[1]BASE TRADE'!$Q:$Q)</f>
        <v>1. Northwest</v>
      </c>
    </row>
    <row r="201" spans="1:7">
      <c r="A201" t="str">
        <f>B201&amp;Table4[[#This Row],[Tipo Servicio]]</f>
        <v>TABASCO-VER SURFLETE MOV GZ  A GZ - MAQUINA HIELO</v>
      </c>
      <c r="B201" t="s">
        <v>92</v>
      </c>
      <c r="C201" s="36" t="s">
        <v>49</v>
      </c>
      <c r="D201" t="s">
        <v>50</v>
      </c>
      <c r="F201" s="56" t="s">
        <v>269</v>
      </c>
      <c r="G201" t="s">
        <v>176</v>
      </c>
    </row>
    <row r="202" spans="1:7">
      <c r="A202" t="str">
        <f>B202&amp;Table4[[#This Row],[Tipo Servicio]]</f>
        <v>TAMAULIPAS NORTEFLETE MOV GZ  A GZ - MAQUINA HIELO</v>
      </c>
      <c r="B202" t="s">
        <v>94</v>
      </c>
      <c r="C202" s="36" t="s">
        <v>49</v>
      </c>
      <c r="D202" t="s">
        <v>50</v>
      </c>
      <c r="F202" s="56" t="s">
        <v>269</v>
      </c>
      <c r="G202" t="s">
        <v>240</v>
      </c>
    </row>
    <row r="203" spans="1:7">
      <c r="A203" t="str">
        <f>B203&amp;Table4[[#This Row],[Tipo Servicio]]</f>
        <v>TAMAULIPAS SUR-VER NTEFLETE MOV GZ  A GZ - MAQUINA HIELO</v>
      </c>
      <c r="B203" t="s">
        <v>6</v>
      </c>
      <c r="C203" s="36" t="s">
        <v>49</v>
      </c>
      <c r="D203" t="s">
        <v>50</v>
      </c>
      <c r="F203" s="56" t="s">
        <v>269</v>
      </c>
      <c r="G203" t="e">
        <f>_xlfn.XLOOKUP(Table4[[#This Row],[GZ]],'[1]BASE TRADE'!$R:$R,'[1]BASE TRADE'!$Q:$Q)</f>
        <v>#N/A</v>
      </c>
    </row>
    <row r="204" spans="1:7">
      <c r="A204" t="str">
        <f>B204&amp;Table4[[#This Row],[Tipo Servicio]]</f>
        <v>VDMFLETE MOV GZ  A GZ - MAQUINA HIELO</v>
      </c>
      <c r="B204" t="s">
        <v>96</v>
      </c>
      <c r="C204" s="36" t="s">
        <v>49</v>
      </c>
      <c r="D204" t="s">
        <v>50</v>
      </c>
      <c r="F204" s="56" t="s">
        <v>269</v>
      </c>
      <c r="G204" t="str">
        <f>_xlfn.XLOOKUP(Table4[[#This Row],[GZ]],'[1]BASE TRADE'!$R:$R,'[1]BASE TRADE'!$Q:$Q)</f>
        <v>4. Center</v>
      </c>
    </row>
    <row r="205" spans="1:7">
      <c r="A205" t="str">
        <f>B205&amp;Table4[[#This Row],[Tipo Servicio]]</f>
        <v>VERACRUZ CENTROFLETE MOV GZ  A GZ - MAQUINA HIELO</v>
      </c>
      <c r="B205" t="s">
        <v>98</v>
      </c>
      <c r="C205" s="36" t="s">
        <v>49</v>
      </c>
      <c r="D205" t="s">
        <v>50</v>
      </c>
      <c r="F205" s="56" t="s">
        <v>269</v>
      </c>
      <c r="G205" t="str">
        <f>_xlfn.XLOOKUP(Table4[[#This Row],[GZ]],'[1]BASE TRADE'!$R:$R,'[1]BASE TRADE'!$Q:$Q)</f>
        <v>5. Southeast</v>
      </c>
    </row>
    <row r="206" spans="1:7">
      <c r="A206" t="str">
        <f>B206&amp;Table4[[#This Row],[Tipo Servicio]]</f>
        <v>YUCAMFLETE MOV GZ  A GZ - MAQUINA HIELO</v>
      </c>
      <c r="B206" t="s">
        <v>100</v>
      </c>
      <c r="C206" s="36" t="s">
        <v>49</v>
      </c>
      <c r="D206" t="s">
        <v>50</v>
      </c>
      <c r="F206" s="56" t="s">
        <v>269</v>
      </c>
      <c r="G206" t="s">
        <v>176</v>
      </c>
    </row>
    <row r="207" spans="1:7">
      <c r="A207" t="str">
        <f>B207&amp;Table4[[#This Row],[Tipo Servicio]]</f>
        <v>BCNFLETE MOV GZ A GZ - BARRIL</v>
      </c>
      <c r="B207" t="s">
        <v>64</v>
      </c>
      <c r="C207" s="36" t="s">
        <v>49</v>
      </c>
      <c r="D207" t="s">
        <v>50</v>
      </c>
      <c r="F207" s="56" t="s">
        <v>270</v>
      </c>
      <c r="G207" t="s">
        <v>139</v>
      </c>
    </row>
    <row r="208" spans="1:7">
      <c r="A208" t="str">
        <f>B208&amp;Table4[[#This Row],[Tipo Servicio]]</f>
        <v>BCSFLETE MOV GZ A GZ - BARRIL</v>
      </c>
      <c r="B208" t="s">
        <v>67</v>
      </c>
      <c r="C208" s="36" t="s">
        <v>49</v>
      </c>
      <c r="D208" t="s">
        <v>50</v>
      </c>
      <c r="F208" s="56" t="s">
        <v>270</v>
      </c>
      <c r="G208" t="s">
        <v>139</v>
      </c>
    </row>
    <row r="209" spans="1:7">
      <c r="A209" t="str">
        <f>B209&amp;Table4[[#This Row],[Tipo Servicio]]</f>
        <v>CHIHUAHUAFLETE MOV GZ A GZ - BARRIL</v>
      </c>
      <c r="B209" t="s">
        <v>70</v>
      </c>
      <c r="C209" s="36" t="s">
        <v>49</v>
      </c>
      <c r="D209" t="s">
        <v>50</v>
      </c>
      <c r="F209" s="56" t="s">
        <v>270</v>
      </c>
      <c r="G209" t="str">
        <f>_xlfn.XLOOKUP(Table4[[#This Row],[GZ]],'[1]BASE TRADE'!$R:$R,'[1]BASE TRADE'!$Q:$Q)</f>
        <v>1. Northwest</v>
      </c>
    </row>
    <row r="210" spans="1:7">
      <c r="A210" t="str">
        <f>B210&amp;Table4[[#This Row],[Tipo Servicio]]</f>
        <v>COAHUILAFLETE MOV GZ A GZ - BARRIL</v>
      </c>
      <c r="B210" t="s">
        <v>72</v>
      </c>
      <c r="C210" s="36" t="s">
        <v>49</v>
      </c>
      <c r="D210" t="s">
        <v>50</v>
      </c>
      <c r="F210" s="56" t="s">
        <v>270</v>
      </c>
      <c r="G210" t="str">
        <f>_xlfn.XLOOKUP(Table4[[#This Row],[GZ]],'[1]BASE TRADE'!$R:$R,'[1]BASE TRADE'!$Q:$Q)</f>
        <v>2. Northeast</v>
      </c>
    </row>
    <row r="211" spans="1:7">
      <c r="A211" t="str">
        <f>B211&amp;Table4[[#This Row],[Tipo Servicio]]</f>
        <v>DURANGOFLETE MOV GZ A GZ - BARRIL</v>
      </c>
      <c r="B211" t="s">
        <v>73</v>
      </c>
      <c r="C211" s="36" t="s">
        <v>49</v>
      </c>
      <c r="D211" t="s">
        <v>50</v>
      </c>
      <c r="F211" s="56" t="s">
        <v>270</v>
      </c>
      <c r="G211" t="str">
        <f>_xlfn.XLOOKUP(Table4[[#This Row],[GZ]],'[1]BASE TRADE'!$R:$R,'[1]BASE TRADE'!$Q:$Q)</f>
        <v>2. Northeast</v>
      </c>
    </row>
    <row r="212" spans="1:7">
      <c r="A212" t="str">
        <f>B212&amp;Table4[[#This Row],[Tipo Servicio]]</f>
        <v>EDO DE MEXICOFLETE MOV GZ A GZ - BARRIL</v>
      </c>
      <c r="B212" t="s">
        <v>74</v>
      </c>
      <c r="C212" s="36" t="s">
        <v>49</v>
      </c>
      <c r="D212" t="s">
        <v>50</v>
      </c>
      <c r="F212" s="56" t="s">
        <v>270</v>
      </c>
      <c r="G212" t="s">
        <v>201</v>
      </c>
    </row>
    <row r="213" spans="1:7">
      <c r="A213" t="str">
        <f>B213&amp;Table4[[#This Row],[Tipo Servicio]]</f>
        <v>FRANQUICIA CHIAPASFLETE MOV GZ A GZ - BARRIL</v>
      </c>
      <c r="B213" t="s">
        <v>75</v>
      </c>
      <c r="C213" s="36" t="s">
        <v>49</v>
      </c>
      <c r="D213" t="s">
        <v>50</v>
      </c>
      <c r="F213" s="56" t="s">
        <v>270</v>
      </c>
      <c r="G213" t="s">
        <v>176</v>
      </c>
    </row>
    <row r="214" spans="1:7">
      <c r="A214" t="str">
        <f>B214&amp;Table4[[#This Row],[Tipo Servicio]]</f>
        <v>QRO-GTOFLETE MOV GZ A GZ - BARRIL</v>
      </c>
      <c r="B214" t="s">
        <v>76</v>
      </c>
      <c r="C214" s="36" t="s">
        <v>49</v>
      </c>
      <c r="D214" t="s">
        <v>50</v>
      </c>
      <c r="F214" s="56" t="s">
        <v>270</v>
      </c>
      <c r="G214" t="s">
        <v>219</v>
      </c>
    </row>
    <row r="215" spans="1:7">
      <c r="A215" t="str">
        <f>B215&amp;Table4[[#This Row],[Tipo Servicio]]</f>
        <v>GRO-MORFLETE MOV GZ A GZ - BARRIL</v>
      </c>
      <c r="B215" t="s">
        <v>77</v>
      </c>
      <c r="C215" s="36" t="s">
        <v>49</v>
      </c>
      <c r="D215" t="s">
        <v>50</v>
      </c>
      <c r="F215" s="56" t="s">
        <v>270</v>
      </c>
      <c r="G215" t="s">
        <v>201</v>
      </c>
    </row>
    <row r="216" spans="1:7">
      <c r="A216" t="str">
        <f>B216&amp;Table4[[#This Row],[Tipo Servicio]]</f>
        <v>HIDALGOFLETE MOV GZ A GZ - BARRIL</v>
      </c>
      <c r="B216" t="s">
        <v>79</v>
      </c>
      <c r="C216" s="36" t="s">
        <v>49</v>
      </c>
      <c r="D216" t="s">
        <v>50</v>
      </c>
      <c r="F216" s="56" t="s">
        <v>270</v>
      </c>
      <c r="G216" t="str">
        <f>_xlfn.XLOOKUP(Table4[[#This Row],[GZ]],'[1]BASE TRADE'!$R:$R,'[1]BASE TRADE'!$Q:$Q)</f>
        <v>4. Center</v>
      </c>
    </row>
    <row r="217" spans="1:7">
      <c r="A217" t="str">
        <f>B217&amp;Table4[[#This Row],[Tipo Servicio]]</f>
        <v>JALISCO-COLIMA-NAYARITFLETE MOV GZ A GZ - BARRIL</v>
      </c>
      <c r="B217" t="s">
        <v>80</v>
      </c>
      <c r="C217" s="36" t="s">
        <v>49</v>
      </c>
      <c r="D217" t="s">
        <v>50</v>
      </c>
      <c r="F217" s="56" t="s">
        <v>270</v>
      </c>
      <c r="G217" t="s">
        <v>219</v>
      </c>
    </row>
    <row r="218" spans="1:7">
      <c r="A218" t="str">
        <f>B218&amp;Table4[[#This Row],[Tipo Servicio]]</f>
        <v>JUAREZFLETE MOV GZ A GZ - BARRIL</v>
      </c>
      <c r="B218" t="s">
        <v>81</v>
      </c>
      <c r="C218" s="36" t="s">
        <v>49</v>
      </c>
      <c r="D218" t="s">
        <v>50</v>
      </c>
      <c r="F218" s="56" t="s">
        <v>270</v>
      </c>
      <c r="G218" t="s">
        <v>139</v>
      </c>
    </row>
    <row r="219" spans="1:7">
      <c r="A219" t="str">
        <f>B219&amp;Table4[[#This Row],[Tipo Servicio]]</f>
        <v>MICHOACANFLETE MOV GZ A GZ - BARRIL</v>
      </c>
      <c r="B219" t="s">
        <v>82</v>
      </c>
      <c r="C219" s="36" t="s">
        <v>49</v>
      </c>
      <c r="D219" t="s">
        <v>50</v>
      </c>
      <c r="F219" s="56" t="s">
        <v>270</v>
      </c>
      <c r="G219" t="s">
        <v>219</v>
      </c>
    </row>
    <row r="220" spans="1:7">
      <c r="A220" t="str">
        <f>B220&amp;Table4[[#This Row],[Tipo Servicio]]</f>
        <v>NUEVO LEONFLETE MOV GZ A GZ - BARRIL</v>
      </c>
      <c r="B220" t="s">
        <v>83</v>
      </c>
      <c r="C220" s="36" t="s">
        <v>49</v>
      </c>
      <c r="D220" t="s">
        <v>50</v>
      </c>
      <c r="F220" s="56" t="s">
        <v>270</v>
      </c>
      <c r="G220" t="s">
        <v>240</v>
      </c>
    </row>
    <row r="221" spans="1:7">
      <c r="A221" t="str">
        <f>B221&amp;Table4[[#This Row],[Tipo Servicio]]</f>
        <v>OAXACAFLETE MOV GZ A GZ - BARRIL</v>
      </c>
      <c r="B221" t="s">
        <v>84</v>
      </c>
      <c r="C221" s="36" t="s">
        <v>49</v>
      </c>
      <c r="D221" t="s">
        <v>50</v>
      </c>
      <c r="F221" s="56" t="s">
        <v>270</v>
      </c>
      <c r="G221" t="str">
        <f>_xlfn.XLOOKUP(Table4[[#This Row],[GZ]],'[1]BASE TRADE'!$R:$R,'[1]BASE TRADE'!$Q:$Q)</f>
        <v>5. Southeast</v>
      </c>
    </row>
    <row r="222" spans="1:7">
      <c r="A222" t="str">
        <f>B222&amp;Table4[[#This Row],[Tipo Servicio]]</f>
        <v>PUEBLA-TLAXCALAFLETE MOV GZ A GZ - BARRIL</v>
      </c>
      <c r="B222" t="s">
        <v>85</v>
      </c>
      <c r="C222" s="36" t="s">
        <v>49</v>
      </c>
      <c r="D222" t="s">
        <v>50</v>
      </c>
      <c r="F222" s="56" t="s">
        <v>270</v>
      </c>
      <c r="G222" t="e">
        <f>_xlfn.XLOOKUP(Table4[[#This Row],[GZ]],'[1]BASE TRADE'!$R:$R,'[1]BASE TRADE'!$Q:$Q)</f>
        <v>#N/A</v>
      </c>
    </row>
    <row r="223" spans="1:7">
      <c r="A223" t="str">
        <f>B223&amp;Table4[[#This Row],[Tipo Servicio]]</f>
        <v>QROOFLETE MOV GZ A GZ - BARRIL</v>
      </c>
      <c r="B223" t="s">
        <v>86</v>
      </c>
      <c r="C223" s="36" t="s">
        <v>49</v>
      </c>
      <c r="D223" t="s">
        <v>50</v>
      </c>
      <c r="F223" s="56" t="s">
        <v>270</v>
      </c>
      <c r="G223" t="s">
        <v>176</v>
      </c>
    </row>
    <row r="224" spans="1:7">
      <c r="A224" t="str">
        <f>B224&amp;Table4[[#This Row],[Tipo Servicio]]</f>
        <v>AGS-ZAC-SLPFLETE MOV GZ A GZ - BARRIL</v>
      </c>
      <c r="B224" t="s">
        <v>61</v>
      </c>
      <c r="C224" s="36" t="s">
        <v>49</v>
      </c>
      <c r="D224" t="s">
        <v>50</v>
      </c>
      <c r="F224" s="56" t="s">
        <v>270</v>
      </c>
      <c r="G224" t="s">
        <v>219</v>
      </c>
    </row>
    <row r="225" spans="1:7">
      <c r="A225" t="str">
        <f>B225&amp;Table4[[#This Row],[Tipo Servicio]]</f>
        <v>SINALOAFLETE MOV GZ A GZ - BARRIL</v>
      </c>
      <c r="B225" t="s">
        <v>88</v>
      </c>
      <c r="C225" s="36" t="s">
        <v>49</v>
      </c>
      <c r="D225" t="s">
        <v>50</v>
      </c>
      <c r="F225" s="56" t="s">
        <v>270</v>
      </c>
      <c r="G225" t="str">
        <f>_xlfn.XLOOKUP(Table4[[#This Row],[GZ]],'[1]BASE TRADE'!$R:$R,'[1]BASE TRADE'!$Q:$Q)</f>
        <v>1. Northwest</v>
      </c>
    </row>
    <row r="226" spans="1:7">
      <c r="A226" t="str">
        <f>B226&amp;Table4[[#This Row],[Tipo Servicio]]</f>
        <v>SONORAFLETE MOV GZ A GZ - BARRIL</v>
      </c>
      <c r="B226" t="s">
        <v>90</v>
      </c>
      <c r="C226" s="36" t="s">
        <v>49</v>
      </c>
      <c r="D226" t="s">
        <v>50</v>
      </c>
      <c r="F226" s="56" t="s">
        <v>270</v>
      </c>
      <c r="G226" t="str">
        <f>_xlfn.XLOOKUP(Table4[[#This Row],[GZ]],'[1]BASE TRADE'!$R:$R,'[1]BASE TRADE'!$Q:$Q)</f>
        <v>1. Northwest</v>
      </c>
    </row>
    <row r="227" spans="1:7">
      <c r="A227" t="str">
        <f>B227&amp;Table4[[#This Row],[Tipo Servicio]]</f>
        <v>TABASCO-VER SURFLETE MOV GZ A GZ - BARRIL</v>
      </c>
      <c r="B227" t="s">
        <v>92</v>
      </c>
      <c r="C227" s="36" t="s">
        <v>49</v>
      </c>
      <c r="D227" t="s">
        <v>50</v>
      </c>
      <c r="F227" s="56" t="s">
        <v>270</v>
      </c>
      <c r="G227" t="s">
        <v>176</v>
      </c>
    </row>
    <row r="228" spans="1:7">
      <c r="A228" t="str">
        <f>B228&amp;Table4[[#This Row],[Tipo Servicio]]</f>
        <v>TAMAULIPAS NORTEFLETE MOV GZ A GZ - BARRIL</v>
      </c>
      <c r="B228" t="s">
        <v>94</v>
      </c>
      <c r="C228" s="36" t="s">
        <v>49</v>
      </c>
      <c r="D228" t="s">
        <v>50</v>
      </c>
      <c r="F228" s="56" t="s">
        <v>270</v>
      </c>
      <c r="G228" t="s">
        <v>240</v>
      </c>
    </row>
    <row r="229" spans="1:7">
      <c r="A229" t="str">
        <f>B229&amp;Table4[[#This Row],[Tipo Servicio]]</f>
        <v>TAMAULIPAS SUR-VER NTEFLETE MOV GZ A GZ - BARRIL</v>
      </c>
      <c r="B229" t="s">
        <v>6</v>
      </c>
      <c r="C229" s="36" t="s">
        <v>49</v>
      </c>
      <c r="D229" t="s">
        <v>50</v>
      </c>
      <c r="F229" s="56" t="s">
        <v>270</v>
      </c>
      <c r="G229" t="e">
        <f>_xlfn.XLOOKUP(Table4[[#This Row],[GZ]],'[1]BASE TRADE'!$R:$R,'[1]BASE TRADE'!$Q:$Q)</f>
        <v>#N/A</v>
      </c>
    </row>
    <row r="230" spans="1:7">
      <c r="A230" t="str">
        <f>B230&amp;Table4[[#This Row],[Tipo Servicio]]</f>
        <v>VDMFLETE MOV GZ A GZ - BARRIL</v>
      </c>
      <c r="B230" t="s">
        <v>96</v>
      </c>
      <c r="C230" s="36" t="s">
        <v>49</v>
      </c>
      <c r="D230" t="s">
        <v>50</v>
      </c>
      <c r="F230" s="56" t="s">
        <v>270</v>
      </c>
      <c r="G230" t="str">
        <f>_xlfn.XLOOKUP(Table4[[#This Row],[GZ]],'[1]BASE TRADE'!$R:$R,'[1]BASE TRADE'!$Q:$Q)</f>
        <v>4. Center</v>
      </c>
    </row>
    <row r="231" spans="1:7">
      <c r="A231" t="str">
        <f>B231&amp;Table4[[#This Row],[Tipo Servicio]]</f>
        <v>VERACRUZ CENTROFLETE MOV GZ A GZ - BARRIL</v>
      </c>
      <c r="B231" t="s">
        <v>98</v>
      </c>
      <c r="C231" s="36" t="s">
        <v>49</v>
      </c>
      <c r="D231" t="s">
        <v>50</v>
      </c>
      <c r="F231" s="56" t="s">
        <v>270</v>
      </c>
      <c r="G231" t="str">
        <f>_xlfn.XLOOKUP(Table4[[#This Row],[GZ]],'[1]BASE TRADE'!$R:$R,'[1]BASE TRADE'!$Q:$Q)</f>
        <v>5. Southeast</v>
      </c>
    </row>
    <row r="232" spans="1:7">
      <c r="A232" t="str">
        <f>B232&amp;Table4[[#This Row],[Tipo Servicio]]</f>
        <v>YUCAMFLETE MOV GZ A GZ - BARRIL</v>
      </c>
      <c r="B232" t="s">
        <v>100</v>
      </c>
      <c r="C232" s="36" t="s">
        <v>49</v>
      </c>
      <c r="D232" t="s">
        <v>50</v>
      </c>
      <c r="F232" s="56" t="s">
        <v>270</v>
      </c>
      <c r="G232" t="s">
        <v>176</v>
      </c>
    </row>
    <row r="233" spans="1:7">
      <c r="A233" t="str">
        <f>B233&amp;Table4[[#This Row],[Tipo Servicio]]</f>
        <v>BCNFLETE MOV GZ A GZ - MOBILIARIO</v>
      </c>
      <c r="B233" t="s">
        <v>64</v>
      </c>
      <c r="C233" s="36" t="s">
        <v>49</v>
      </c>
      <c r="D233" t="s">
        <v>50</v>
      </c>
      <c r="F233" s="56" t="s">
        <v>271</v>
      </c>
      <c r="G233" t="s">
        <v>139</v>
      </c>
    </row>
    <row r="234" spans="1:7">
      <c r="A234" t="str">
        <f>B234&amp;Table4[[#This Row],[Tipo Servicio]]</f>
        <v>BCSFLETE MOV GZ A GZ - MOBILIARIO</v>
      </c>
      <c r="B234" t="s">
        <v>67</v>
      </c>
      <c r="C234" s="36" t="s">
        <v>49</v>
      </c>
      <c r="D234" t="s">
        <v>50</v>
      </c>
      <c r="F234" s="56" t="s">
        <v>271</v>
      </c>
      <c r="G234" t="s">
        <v>139</v>
      </c>
    </row>
    <row r="235" spans="1:7">
      <c r="A235" t="str">
        <f>B235&amp;Table4[[#This Row],[Tipo Servicio]]</f>
        <v>CHIHUAHUAFLETE MOV GZ A GZ - MOBILIARIO</v>
      </c>
      <c r="B235" t="s">
        <v>70</v>
      </c>
      <c r="C235" s="36" t="s">
        <v>49</v>
      </c>
      <c r="D235" t="s">
        <v>50</v>
      </c>
      <c r="F235" s="56" t="s">
        <v>271</v>
      </c>
      <c r="G235" t="str">
        <f>_xlfn.XLOOKUP(Table4[[#This Row],[GZ]],'[1]BASE TRADE'!$R:$R,'[1]BASE TRADE'!$Q:$Q)</f>
        <v>1. Northwest</v>
      </c>
    </row>
    <row r="236" spans="1:7">
      <c r="A236" t="str">
        <f>B236&amp;Table4[[#This Row],[Tipo Servicio]]</f>
        <v>COAHUILAFLETE MOV GZ A GZ - MOBILIARIO</v>
      </c>
      <c r="B236" t="s">
        <v>72</v>
      </c>
      <c r="C236" s="36" t="s">
        <v>49</v>
      </c>
      <c r="D236" t="s">
        <v>50</v>
      </c>
      <c r="F236" s="56" t="s">
        <v>271</v>
      </c>
      <c r="G236" t="str">
        <f>_xlfn.XLOOKUP(Table4[[#This Row],[GZ]],'[1]BASE TRADE'!$R:$R,'[1]BASE TRADE'!$Q:$Q)</f>
        <v>2. Northeast</v>
      </c>
    </row>
    <row r="237" spans="1:7">
      <c r="A237" t="str">
        <f>B237&amp;Table4[[#This Row],[Tipo Servicio]]</f>
        <v>DURANGOFLETE MOV GZ A GZ - MOBILIARIO</v>
      </c>
      <c r="B237" t="s">
        <v>73</v>
      </c>
      <c r="C237" s="36" t="s">
        <v>49</v>
      </c>
      <c r="D237" t="s">
        <v>50</v>
      </c>
      <c r="F237" s="56" t="s">
        <v>271</v>
      </c>
      <c r="G237" t="str">
        <f>_xlfn.XLOOKUP(Table4[[#This Row],[GZ]],'[1]BASE TRADE'!$R:$R,'[1]BASE TRADE'!$Q:$Q)</f>
        <v>2. Northeast</v>
      </c>
    </row>
    <row r="238" spans="1:7">
      <c r="A238" t="str">
        <f>B238&amp;Table4[[#This Row],[Tipo Servicio]]</f>
        <v>EDO DE MEXICOFLETE MOV GZ A GZ - MOBILIARIO</v>
      </c>
      <c r="B238" t="s">
        <v>74</v>
      </c>
      <c r="C238" s="36" t="s">
        <v>49</v>
      </c>
      <c r="D238" t="s">
        <v>50</v>
      </c>
      <c r="F238" s="56" t="s">
        <v>271</v>
      </c>
      <c r="G238" t="s">
        <v>201</v>
      </c>
    </row>
    <row r="239" spans="1:7">
      <c r="A239" t="str">
        <f>B239&amp;Table4[[#This Row],[Tipo Servicio]]</f>
        <v>FRANQUICIA CHIAPASFLETE MOV GZ A GZ - MOBILIARIO</v>
      </c>
      <c r="B239" t="s">
        <v>75</v>
      </c>
      <c r="C239" s="36" t="s">
        <v>49</v>
      </c>
      <c r="D239" t="s">
        <v>50</v>
      </c>
      <c r="F239" s="56" t="s">
        <v>271</v>
      </c>
      <c r="G239" t="s">
        <v>176</v>
      </c>
    </row>
    <row r="240" spans="1:7">
      <c r="A240" t="str">
        <f>B240&amp;Table4[[#This Row],[Tipo Servicio]]</f>
        <v>QRO-GTOFLETE MOV GZ A GZ - MOBILIARIO</v>
      </c>
      <c r="B240" t="s">
        <v>76</v>
      </c>
      <c r="C240" s="36" t="s">
        <v>49</v>
      </c>
      <c r="D240" t="s">
        <v>50</v>
      </c>
      <c r="F240" s="56" t="s">
        <v>271</v>
      </c>
      <c r="G240" t="s">
        <v>219</v>
      </c>
    </row>
    <row r="241" spans="1:7">
      <c r="A241" t="str">
        <f>B241&amp;Table4[[#This Row],[Tipo Servicio]]</f>
        <v>HIDALGOFLETE MOV GZ A GZ - MOBILIARIO</v>
      </c>
      <c r="B241" t="s">
        <v>79</v>
      </c>
      <c r="C241" s="36" t="s">
        <v>49</v>
      </c>
      <c r="D241" t="s">
        <v>50</v>
      </c>
      <c r="F241" s="56" t="s">
        <v>271</v>
      </c>
      <c r="G241" t="str">
        <f>_xlfn.XLOOKUP(Table4[[#This Row],[GZ]],'[1]BASE TRADE'!$R:$R,'[1]BASE TRADE'!$Q:$Q)</f>
        <v>4. Center</v>
      </c>
    </row>
    <row r="242" spans="1:7">
      <c r="A242" t="str">
        <f>B242&amp;Table4[[#This Row],[Tipo Servicio]]</f>
        <v>JALISCO-COLIMA-NAYARITFLETE MOV GZ A GZ - MOBILIARIO</v>
      </c>
      <c r="B242" t="s">
        <v>80</v>
      </c>
      <c r="C242" s="36" t="s">
        <v>49</v>
      </c>
      <c r="D242" t="s">
        <v>50</v>
      </c>
      <c r="F242" s="56" t="s">
        <v>271</v>
      </c>
      <c r="G242" t="s">
        <v>219</v>
      </c>
    </row>
    <row r="243" spans="1:7">
      <c r="A243" t="str">
        <f>B243&amp;Table4[[#This Row],[Tipo Servicio]]</f>
        <v>JUAREZFLETE MOV GZ A GZ - MOBILIARIO</v>
      </c>
      <c r="B243" t="s">
        <v>81</v>
      </c>
      <c r="C243" s="36" t="s">
        <v>49</v>
      </c>
      <c r="D243" t="s">
        <v>50</v>
      </c>
      <c r="F243" s="56" t="s">
        <v>271</v>
      </c>
      <c r="G243" t="s">
        <v>139</v>
      </c>
    </row>
    <row r="244" spans="1:7">
      <c r="A244" t="str">
        <f>B244&amp;Table4[[#This Row],[Tipo Servicio]]</f>
        <v>MICHOACANFLETE MOV GZ A GZ - MOBILIARIO</v>
      </c>
      <c r="B244" t="s">
        <v>82</v>
      </c>
      <c r="C244" s="36" t="s">
        <v>49</v>
      </c>
      <c r="D244" t="s">
        <v>50</v>
      </c>
      <c r="F244" s="56" t="s">
        <v>271</v>
      </c>
      <c r="G244" t="s">
        <v>219</v>
      </c>
    </row>
    <row r="245" spans="1:7">
      <c r="A245" t="str">
        <f>B245&amp;Table4[[#This Row],[Tipo Servicio]]</f>
        <v>GRO-MORFLETE MOV GZ A GZ - MOBILIARIO</v>
      </c>
      <c r="B245" t="s">
        <v>77</v>
      </c>
      <c r="C245" s="36" t="s">
        <v>49</v>
      </c>
      <c r="D245" t="s">
        <v>50</v>
      </c>
      <c r="F245" s="56" t="s">
        <v>271</v>
      </c>
      <c r="G245" t="s">
        <v>201</v>
      </c>
    </row>
    <row r="246" spans="1:7">
      <c r="A246" t="str">
        <f>B246&amp;Table4[[#This Row],[Tipo Servicio]]</f>
        <v>NUEVO LEONFLETE MOV GZ A GZ - MOBILIARIO</v>
      </c>
      <c r="B246" t="s">
        <v>83</v>
      </c>
      <c r="C246" s="36" t="s">
        <v>49</v>
      </c>
      <c r="D246" t="s">
        <v>50</v>
      </c>
      <c r="F246" s="56" t="s">
        <v>271</v>
      </c>
      <c r="G246" t="s">
        <v>240</v>
      </c>
    </row>
    <row r="247" spans="1:7">
      <c r="A247" t="str">
        <f>B247&amp;Table4[[#This Row],[Tipo Servicio]]</f>
        <v>OAXACAFLETE MOV GZ A GZ - MOBILIARIO</v>
      </c>
      <c r="B247" t="s">
        <v>84</v>
      </c>
      <c r="C247" s="36" t="s">
        <v>49</v>
      </c>
      <c r="D247" t="s">
        <v>50</v>
      </c>
      <c r="F247" s="56" t="s">
        <v>271</v>
      </c>
      <c r="G247" t="str">
        <f>_xlfn.XLOOKUP(Table4[[#This Row],[GZ]],'[1]BASE TRADE'!$R:$R,'[1]BASE TRADE'!$Q:$Q)</f>
        <v>5. Southeast</v>
      </c>
    </row>
    <row r="248" spans="1:7">
      <c r="A248" t="str">
        <f>B248&amp;Table4[[#This Row],[Tipo Servicio]]</f>
        <v>PUEBLA-TLAXCALAFLETE MOV GZ A GZ - MOBILIARIO</v>
      </c>
      <c r="B248" t="s">
        <v>85</v>
      </c>
      <c r="C248" s="36" t="s">
        <v>49</v>
      </c>
      <c r="D248" t="s">
        <v>50</v>
      </c>
      <c r="F248" s="56" t="s">
        <v>271</v>
      </c>
      <c r="G248" t="e">
        <f>_xlfn.XLOOKUP(Table4[[#This Row],[GZ]],'[1]BASE TRADE'!$R:$R,'[1]BASE TRADE'!$Q:$Q)</f>
        <v>#N/A</v>
      </c>
    </row>
    <row r="249" spans="1:7">
      <c r="A249" t="str">
        <f>B249&amp;Table4[[#This Row],[Tipo Servicio]]</f>
        <v>QROOFLETE MOV GZ A GZ - MOBILIARIO</v>
      </c>
      <c r="B249" t="s">
        <v>86</v>
      </c>
      <c r="C249" s="36" t="s">
        <v>49</v>
      </c>
      <c r="D249" t="s">
        <v>50</v>
      </c>
      <c r="F249" s="56" t="s">
        <v>271</v>
      </c>
      <c r="G249" t="s">
        <v>176</v>
      </c>
    </row>
    <row r="250" spans="1:7">
      <c r="A250" t="str">
        <f>B250&amp;Table4[[#This Row],[Tipo Servicio]]</f>
        <v>AGS-ZAC-SLPFLETE MOV GZ A GZ - MOBILIARIO</v>
      </c>
      <c r="B250" t="s">
        <v>61</v>
      </c>
      <c r="C250" s="36" t="s">
        <v>49</v>
      </c>
      <c r="D250" t="s">
        <v>50</v>
      </c>
      <c r="F250" s="56" t="s">
        <v>271</v>
      </c>
      <c r="G250" t="s">
        <v>219</v>
      </c>
    </row>
    <row r="251" spans="1:7">
      <c r="A251" t="str">
        <f>B251&amp;Table4[[#This Row],[Tipo Servicio]]</f>
        <v>SINALOAFLETE MOV GZ A GZ - MOBILIARIO</v>
      </c>
      <c r="B251" t="s">
        <v>88</v>
      </c>
      <c r="C251" s="36" t="s">
        <v>49</v>
      </c>
      <c r="D251" t="s">
        <v>50</v>
      </c>
      <c r="F251" s="56" t="s">
        <v>271</v>
      </c>
      <c r="G251" t="str">
        <f>_xlfn.XLOOKUP(Table4[[#This Row],[GZ]],'[1]BASE TRADE'!$R:$R,'[1]BASE TRADE'!$Q:$Q)</f>
        <v>1. Northwest</v>
      </c>
    </row>
    <row r="252" spans="1:7">
      <c r="A252" t="str">
        <f>B252&amp;Table4[[#This Row],[Tipo Servicio]]</f>
        <v>SONORAFLETE MOV GZ A GZ - MOBILIARIO</v>
      </c>
      <c r="B252" t="s">
        <v>90</v>
      </c>
      <c r="C252" s="36" t="s">
        <v>49</v>
      </c>
      <c r="D252" t="s">
        <v>50</v>
      </c>
      <c r="F252" s="56" t="s">
        <v>271</v>
      </c>
      <c r="G252" t="str">
        <f>_xlfn.XLOOKUP(Table4[[#This Row],[GZ]],'[1]BASE TRADE'!$R:$R,'[1]BASE TRADE'!$Q:$Q)</f>
        <v>1. Northwest</v>
      </c>
    </row>
    <row r="253" spans="1:7">
      <c r="A253" t="str">
        <f>B253&amp;Table4[[#This Row],[Tipo Servicio]]</f>
        <v>TABASCO-VER SURFLETE MOV GZ A GZ - MOBILIARIO</v>
      </c>
      <c r="B253" t="s">
        <v>92</v>
      </c>
      <c r="C253" s="36" t="s">
        <v>49</v>
      </c>
      <c r="D253" t="s">
        <v>50</v>
      </c>
      <c r="F253" s="56" t="s">
        <v>271</v>
      </c>
      <c r="G253" t="s">
        <v>176</v>
      </c>
    </row>
    <row r="254" spans="1:7">
      <c r="A254" t="str">
        <f>B254&amp;Table4[[#This Row],[Tipo Servicio]]</f>
        <v>TAMAULIPAS NORTEFLETE MOV GZ A GZ - MOBILIARIO</v>
      </c>
      <c r="B254" t="s">
        <v>94</v>
      </c>
      <c r="C254" s="36" t="s">
        <v>49</v>
      </c>
      <c r="D254" t="s">
        <v>50</v>
      </c>
      <c r="F254" s="56" t="s">
        <v>271</v>
      </c>
      <c r="G254" t="s">
        <v>240</v>
      </c>
    </row>
    <row r="255" spans="1:7">
      <c r="A255" t="str">
        <f>B255&amp;Table4[[#This Row],[Tipo Servicio]]</f>
        <v>TAMAULIPAS SUR-VER NTEFLETE MOV GZ A GZ - MOBILIARIO</v>
      </c>
      <c r="B255" t="s">
        <v>6</v>
      </c>
      <c r="C255" s="36" t="s">
        <v>49</v>
      </c>
      <c r="D255" t="s">
        <v>50</v>
      </c>
      <c r="F255" s="56" t="s">
        <v>271</v>
      </c>
      <c r="G255" t="e">
        <f>_xlfn.XLOOKUP(Table4[[#This Row],[GZ]],'[1]BASE TRADE'!$R:$R,'[1]BASE TRADE'!$Q:$Q)</f>
        <v>#N/A</v>
      </c>
    </row>
    <row r="256" spans="1:7">
      <c r="A256" t="str">
        <f>B256&amp;Table4[[#This Row],[Tipo Servicio]]</f>
        <v>VDMFLETE MOV GZ A GZ - MOBILIARIO</v>
      </c>
      <c r="B256" t="s">
        <v>96</v>
      </c>
      <c r="C256" s="36" t="s">
        <v>49</v>
      </c>
      <c r="D256" t="s">
        <v>50</v>
      </c>
      <c r="F256" s="56" t="s">
        <v>271</v>
      </c>
      <c r="G256" t="str">
        <f>_xlfn.XLOOKUP(Table4[[#This Row],[GZ]],'[1]BASE TRADE'!$R:$R,'[1]BASE TRADE'!$Q:$Q)</f>
        <v>4. Center</v>
      </c>
    </row>
    <row r="257" spans="1:7">
      <c r="A257" t="str">
        <f>B257&amp;Table4[[#This Row],[Tipo Servicio]]</f>
        <v>VERACRUZ CENTROFLETE MOV GZ A GZ - MOBILIARIO</v>
      </c>
      <c r="B257" t="s">
        <v>98</v>
      </c>
      <c r="C257" s="36" t="s">
        <v>49</v>
      </c>
      <c r="D257" t="s">
        <v>50</v>
      </c>
      <c r="F257" s="56" t="s">
        <v>271</v>
      </c>
      <c r="G257" t="str">
        <f>_xlfn.XLOOKUP(Table4[[#This Row],[GZ]],'[1]BASE TRADE'!$R:$R,'[1]BASE TRADE'!$Q:$Q)</f>
        <v>5. Southeast</v>
      </c>
    </row>
    <row r="258" spans="1:7">
      <c r="A258" t="str">
        <f>B258&amp;Table4[[#This Row],[Tipo Servicio]]</f>
        <v>YUCAMFLETE MOV GZ A GZ - MOBILIARIO</v>
      </c>
      <c r="B258" t="s">
        <v>100</v>
      </c>
      <c r="C258" s="36" t="s">
        <v>49</v>
      </c>
      <c r="D258" t="s">
        <v>50</v>
      </c>
      <c r="F258" s="56" t="s">
        <v>271</v>
      </c>
      <c r="G258" t="s">
        <v>176</v>
      </c>
    </row>
    <row r="259" spans="1:7">
      <c r="A259" t="str">
        <f>B259&amp;Table4[[#This Row],[Tipo Servicio]]</f>
        <v>BCNFLETE MOV GZ A GZ - VISIBILIDAD</v>
      </c>
      <c r="B259" t="s">
        <v>64</v>
      </c>
      <c r="C259" s="36" t="s">
        <v>49</v>
      </c>
      <c r="D259" t="s">
        <v>50</v>
      </c>
      <c r="F259" s="56" t="s">
        <v>272</v>
      </c>
      <c r="G259" t="s">
        <v>139</v>
      </c>
    </row>
    <row r="260" spans="1:7">
      <c r="A260" t="str">
        <f>B260&amp;Table4[[#This Row],[Tipo Servicio]]</f>
        <v>BCSFLETE MOV GZ A GZ - VISIBILIDAD</v>
      </c>
      <c r="B260" t="s">
        <v>67</v>
      </c>
      <c r="C260" s="36" t="s">
        <v>49</v>
      </c>
      <c r="D260" t="s">
        <v>50</v>
      </c>
      <c r="F260" s="56" t="s">
        <v>272</v>
      </c>
      <c r="G260" t="s">
        <v>139</v>
      </c>
    </row>
    <row r="261" spans="1:7">
      <c r="A261" t="str">
        <f>B261&amp;Table4[[#This Row],[Tipo Servicio]]</f>
        <v>CHIHUAHUAFLETE MOV GZ A GZ - VISIBILIDAD</v>
      </c>
      <c r="B261" t="s">
        <v>70</v>
      </c>
      <c r="C261" s="36" t="s">
        <v>49</v>
      </c>
      <c r="D261" t="s">
        <v>50</v>
      </c>
      <c r="F261" s="56" t="s">
        <v>272</v>
      </c>
      <c r="G261" t="str">
        <f>_xlfn.XLOOKUP(Table4[[#This Row],[GZ]],'[1]BASE TRADE'!$R:$R,'[1]BASE TRADE'!$Q:$Q)</f>
        <v>1. Northwest</v>
      </c>
    </row>
    <row r="262" spans="1:7">
      <c r="A262" t="str">
        <f>B262&amp;Table4[[#This Row],[Tipo Servicio]]</f>
        <v>COAHUILAFLETE MOV GZ A GZ - VISIBILIDAD</v>
      </c>
      <c r="B262" t="s">
        <v>72</v>
      </c>
      <c r="C262" s="36" t="s">
        <v>49</v>
      </c>
      <c r="D262" t="s">
        <v>50</v>
      </c>
      <c r="F262" s="56" t="s">
        <v>272</v>
      </c>
      <c r="G262" t="str">
        <f>_xlfn.XLOOKUP(Table4[[#This Row],[GZ]],'[1]BASE TRADE'!$R:$R,'[1]BASE TRADE'!$Q:$Q)</f>
        <v>2. Northeast</v>
      </c>
    </row>
    <row r="263" spans="1:7">
      <c r="A263" t="str">
        <f>B263&amp;Table4[[#This Row],[Tipo Servicio]]</f>
        <v>DURANGOFLETE MOV GZ A GZ - VISIBILIDAD</v>
      </c>
      <c r="B263" t="s">
        <v>73</v>
      </c>
      <c r="C263" s="36" t="s">
        <v>49</v>
      </c>
      <c r="D263" t="s">
        <v>50</v>
      </c>
      <c r="F263" s="56" t="s">
        <v>272</v>
      </c>
      <c r="G263" t="str">
        <f>_xlfn.XLOOKUP(Table4[[#This Row],[GZ]],'[1]BASE TRADE'!$R:$R,'[1]BASE TRADE'!$Q:$Q)</f>
        <v>2. Northeast</v>
      </c>
    </row>
    <row r="264" spans="1:7">
      <c r="A264" t="str">
        <f>B264&amp;Table4[[#This Row],[Tipo Servicio]]</f>
        <v>EDO DE MEXICOFLETE MOV GZ A GZ - VISIBILIDAD</v>
      </c>
      <c r="B264" t="s">
        <v>74</v>
      </c>
      <c r="C264" s="36" t="s">
        <v>49</v>
      </c>
      <c r="D264" t="s">
        <v>50</v>
      </c>
      <c r="F264" s="56" t="s">
        <v>272</v>
      </c>
      <c r="G264" t="s">
        <v>201</v>
      </c>
    </row>
    <row r="265" spans="1:7">
      <c r="A265" t="str">
        <f>B265&amp;Table4[[#This Row],[Tipo Servicio]]</f>
        <v>FRANQUICIA CHIAPASFLETE MOV GZ A GZ - VISIBILIDAD</v>
      </c>
      <c r="B265" t="s">
        <v>75</v>
      </c>
      <c r="C265" s="36" t="s">
        <v>49</v>
      </c>
      <c r="D265" t="s">
        <v>50</v>
      </c>
      <c r="F265" s="56" t="s">
        <v>272</v>
      </c>
      <c r="G265" t="s">
        <v>176</v>
      </c>
    </row>
    <row r="266" spans="1:7">
      <c r="A266" t="str">
        <f>B266&amp;Table4[[#This Row],[Tipo Servicio]]</f>
        <v>QRO-GTOFLETE MOV GZ A GZ - VISIBILIDAD</v>
      </c>
      <c r="B266" t="s">
        <v>76</v>
      </c>
      <c r="C266" s="36" t="s">
        <v>49</v>
      </c>
      <c r="D266" t="s">
        <v>50</v>
      </c>
      <c r="F266" s="56" t="s">
        <v>272</v>
      </c>
      <c r="G266" t="s">
        <v>219</v>
      </c>
    </row>
    <row r="267" spans="1:7">
      <c r="A267" t="str">
        <f>B267&amp;Table4[[#This Row],[Tipo Servicio]]</f>
        <v>HIDALGOFLETE MOV GZ A GZ - VISIBILIDAD</v>
      </c>
      <c r="B267" t="s">
        <v>79</v>
      </c>
      <c r="C267" s="36" t="s">
        <v>49</v>
      </c>
      <c r="D267" t="s">
        <v>50</v>
      </c>
      <c r="F267" s="56" t="s">
        <v>272</v>
      </c>
      <c r="G267" t="str">
        <f>_xlfn.XLOOKUP(Table4[[#This Row],[GZ]],'[1]BASE TRADE'!$R:$R,'[1]BASE TRADE'!$Q:$Q)</f>
        <v>4. Center</v>
      </c>
    </row>
    <row r="268" spans="1:7">
      <c r="A268" t="str">
        <f>B268&amp;Table4[[#This Row],[Tipo Servicio]]</f>
        <v>JALISCO-COLIMA-NAYARITFLETE MOV GZ A GZ - VISIBILIDAD</v>
      </c>
      <c r="B268" t="s">
        <v>80</v>
      </c>
      <c r="C268" s="36" t="s">
        <v>49</v>
      </c>
      <c r="D268" t="s">
        <v>50</v>
      </c>
      <c r="F268" s="56" t="s">
        <v>272</v>
      </c>
      <c r="G268" t="s">
        <v>219</v>
      </c>
    </row>
    <row r="269" spans="1:7">
      <c r="A269" t="str">
        <f>B269&amp;Table4[[#This Row],[Tipo Servicio]]</f>
        <v>JUAREZFLETE MOV GZ A GZ - VISIBILIDAD</v>
      </c>
      <c r="B269" t="s">
        <v>81</v>
      </c>
      <c r="C269" s="36" t="s">
        <v>49</v>
      </c>
      <c r="D269" t="s">
        <v>50</v>
      </c>
      <c r="F269" s="56" t="s">
        <v>272</v>
      </c>
      <c r="G269" t="s">
        <v>139</v>
      </c>
    </row>
    <row r="270" spans="1:7">
      <c r="A270" t="str">
        <f>B270&amp;Table4[[#This Row],[Tipo Servicio]]</f>
        <v>MICHOACANFLETE MOV GZ A GZ - VISIBILIDAD</v>
      </c>
      <c r="B270" t="s">
        <v>82</v>
      </c>
      <c r="C270" s="36" t="s">
        <v>49</v>
      </c>
      <c r="D270" t="s">
        <v>50</v>
      </c>
      <c r="F270" s="56" t="s">
        <v>272</v>
      </c>
      <c r="G270" t="s">
        <v>219</v>
      </c>
    </row>
    <row r="271" spans="1:7">
      <c r="A271" t="str">
        <f>B271&amp;Table4[[#This Row],[Tipo Servicio]]</f>
        <v>GRO-MORFLETE MOV GZ A GZ - VISIBILIDAD</v>
      </c>
      <c r="B271" t="s">
        <v>77</v>
      </c>
      <c r="C271" s="36" t="s">
        <v>49</v>
      </c>
      <c r="D271" t="s">
        <v>50</v>
      </c>
      <c r="F271" s="56" t="s">
        <v>272</v>
      </c>
      <c r="G271" t="s">
        <v>201</v>
      </c>
    </row>
    <row r="272" spans="1:7">
      <c r="A272" t="str">
        <f>B272&amp;Table4[[#This Row],[Tipo Servicio]]</f>
        <v>NUEVO LEONFLETE MOV GZ A GZ - VISIBILIDAD</v>
      </c>
      <c r="B272" t="s">
        <v>83</v>
      </c>
      <c r="C272" s="36" t="s">
        <v>49</v>
      </c>
      <c r="D272" t="s">
        <v>50</v>
      </c>
      <c r="F272" s="56" t="s">
        <v>272</v>
      </c>
      <c r="G272" t="s">
        <v>240</v>
      </c>
    </row>
    <row r="273" spans="1:7">
      <c r="A273" t="str">
        <f>B273&amp;Table4[[#This Row],[Tipo Servicio]]</f>
        <v>OAXACAFLETE MOV GZ A GZ - VISIBILIDAD</v>
      </c>
      <c r="B273" t="s">
        <v>84</v>
      </c>
      <c r="C273" s="36" t="s">
        <v>49</v>
      </c>
      <c r="D273" t="s">
        <v>50</v>
      </c>
      <c r="F273" s="56" t="s">
        <v>272</v>
      </c>
      <c r="G273" t="str">
        <f>_xlfn.XLOOKUP(Table4[[#This Row],[GZ]],'[1]BASE TRADE'!$R:$R,'[1]BASE TRADE'!$Q:$Q)</f>
        <v>5. Southeast</v>
      </c>
    </row>
    <row r="274" spans="1:7">
      <c r="A274" t="str">
        <f>B274&amp;Table4[[#This Row],[Tipo Servicio]]</f>
        <v>PUEBLA-TLAXCALAFLETE MOV GZ A GZ - VISIBILIDAD</v>
      </c>
      <c r="B274" t="s">
        <v>85</v>
      </c>
      <c r="C274" s="36" t="s">
        <v>49</v>
      </c>
      <c r="D274" t="s">
        <v>50</v>
      </c>
      <c r="F274" s="56" t="s">
        <v>272</v>
      </c>
      <c r="G274" t="e">
        <f>_xlfn.XLOOKUP(Table4[[#This Row],[GZ]],'[1]BASE TRADE'!$R:$R,'[1]BASE TRADE'!$Q:$Q)</f>
        <v>#N/A</v>
      </c>
    </row>
    <row r="275" spans="1:7">
      <c r="A275" t="str">
        <f>B275&amp;Table4[[#This Row],[Tipo Servicio]]</f>
        <v>QROOFLETE MOV GZ A GZ - VISIBILIDAD</v>
      </c>
      <c r="B275" t="s">
        <v>86</v>
      </c>
      <c r="C275" s="36" t="s">
        <v>49</v>
      </c>
      <c r="D275" t="s">
        <v>50</v>
      </c>
      <c r="F275" s="56" t="s">
        <v>272</v>
      </c>
      <c r="G275" t="s">
        <v>176</v>
      </c>
    </row>
    <row r="276" spans="1:7">
      <c r="A276" t="str">
        <f>B276&amp;Table4[[#This Row],[Tipo Servicio]]</f>
        <v>AGS-ZAC-SLPFLETE MOV GZ A GZ - VISIBILIDAD</v>
      </c>
      <c r="B276" t="s">
        <v>61</v>
      </c>
      <c r="C276" s="36" t="s">
        <v>49</v>
      </c>
      <c r="D276" t="s">
        <v>50</v>
      </c>
      <c r="F276" s="56" t="s">
        <v>272</v>
      </c>
      <c r="G276" t="s">
        <v>219</v>
      </c>
    </row>
    <row r="277" spans="1:7">
      <c r="A277" t="str">
        <f>B277&amp;Table4[[#This Row],[Tipo Servicio]]</f>
        <v>SINALOAFLETE MOV GZ A GZ - VISIBILIDAD</v>
      </c>
      <c r="B277" t="s">
        <v>88</v>
      </c>
      <c r="C277" s="36" t="s">
        <v>49</v>
      </c>
      <c r="D277" t="s">
        <v>50</v>
      </c>
      <c r="F277" s="56" t="s">
        <v>272</v>
      </c>
      <c r="G277" t="str">
        <f>_xlfn.XLOOKUP(Table4[[#This Row],[GZ]],'[1]BASE TRADE'!$R:$R,'[1]BASE TRADE'!$Q:$Q)</f>
        <v>1. Northwest</v>
      </c>
    </row>
    <row r="278" spans="1:7">
      <c r="A278" t="str">
        <f>B278&amp;Table4[[#This Row],[Tipo Servicio]]</f>
        <v>SONORAFLETE MOV GZ A GZ - VISIBILIDAD</v>
      </c>
      <c r="B278" t="s">
        <v>90</v>
      </c>
      <c r="C278" s="36" t="s">
        <v>49</v>
      </c>
      <c r="D278" t="s">
        <v>50</v>
      </c>
      <c r="F278" s="56" t="s">
        <v>272</v>
      </c>
      <c r="G278" t="str">
        <f>_xlfn.XLOOKUP(Table4[[#This Row],[GZ]],'[1]BASE TRADE'!$R:$R,'[1]BASE TRADE'!$Q:$Q)</f>
        <v>1. Northwest</v>
      </c>
    </row>
    <row r="279" spans="1:7">
      <c r="A279" t="str">
        <f>B279&amp;Table4[[#This Row],[Tipo Servicio]]</f>
        <v>TABASCO-VER SURFLETE MOV GZ A GZ - VISIBILIDAD</v>
      </c>
      <c r="B279" t="s">
        <v>92</v>
      </c>
      <c r="C279" s="36" t="s">
        <v>49</v>
      </c>
      <c r="D279" t="s">
        <v>50</v>
      </c>
      <c r="F279" s="56" t="s">
        <v>272</v>
      </c>
      <c r="G279" t="s">
        <v>176</v>
      </c>
    </row>
    <row r="280" spans="1:7">
      <c r="A280" t="str">
        <f>B280&amp;Table4[[#This Row],[Tipo Servicio]]</f>
        <v>TAMAULIPAS NORTEFLETE MOV GZ A GZ - VISIBILIDAD</v>
      </c>
      <c r="B280" t="s">
        <v>94</v>
      </c>
      <c r="C280" s="36" t="s">
        <v>49</v>
      </c>
      <c r="D280" t="s">
        <v>50</v>
      </c>
      <c r="F280" s="56" t="s">
        <v>272</v>
      </c>
      <c r="G280" t="s">
        <v>240</v>
      </c>
    </row>
    <row r="281" spans="1:7">
      <c r="A281" t="str">
        <f>B281&amp;Table4[[#This Row],[Tipo Servicio]]</f>
        <v>TAMAULIPAS SUR-VER NTEFLETE MOV GZ A GZ - VISIBILIDAD</v>
      </c>
      <c r="B281" t="s">
        <v>6</v>
      </c>
      <c r="C281" s="36" t="s">
        <v>49</v>
      </c>
      <c r="D281" t="s">
        <v>50</v>
      </c>
      <c r="F281" s="56" t="s">
        <v>272</v>
      </c>
      <c r="G281" t="e">
        <f>_xlfn.XLOOKUP(Table4[[#This Row],[GZ]],'[1]BASE TRADE'!$R:$R,'[1]BASE TRADE'!$Q:$Q)</f>
        <v>#N/A</v>
      </c>
    </row>
    <row r="282" spans="1:7">
      <c r="A282" t="str">
        <f>B282&amp;Table4[[#This Row],[Tipo Servicio]]</f>
        <v>VDMFLETE MOV GZ A GZ - VISIBILIDAD</v>
      </c>
      <c r="B282" t="s">
        <v>96</v>
      </c>
      <c r="C282" s="36" t="s">
        <v>49</v>
      </c>
      <c r="D282" t="s">
        <v>50</v>
      </c>
      <c r="F282" s="56" t="s">
        <v>272</v>
      </c>
      <c r="G282" t="str">
        <f>_xlfn.XLOOKUP(Table4[[#This Row],[GZ]],'[1]BASE TRADE'!$R:$R,'[1]BASE TRADE'!$Q:$Q)</f>
        <v>4. Center</v>
      </c>
    </row>
    <row r="283" spans="1:7">
      <c r="A283" t="str">
        <f>B283&amp;Table4[[#This Row],[Tipo Servicio]]</f>
        <v>VERACRUZ CENTROFLETE MOV GZ A GZ - VISIBILIDAD</v>
      </c>
      <c r="B283" t="s">
        <v>98</v>
      </c>
      <c r="C283" s="36" t="s">
        <v>49</v>
      </c>
      <c r="D283" t="s">
        <v>50</v>
      </c>
      <c r="F283" s="56" t="s">
        <v>272</v>
      </c>
      <c r="G283" t="str">
        <f>_xlfn.XLOOKUP(Table4[[#This Row],[GZ]],'[1]BASE TRADE'!$R:$R,'[1]BASE TRADE'!$Q:$Q)</f>
        <v>5. Southeast</v>
      </c>
    </row>
    <row r="284" spans="1:7">
      <c r="A284" t="str">
        <f>B284&amp;Table4[[#This Row],[Tipo Servicio]]</f>
        <v>YUCAMFLETE MOV GZ A GZ - VISIBILIDAD</v>
      </c>
      <c r="B284" t="s">
        <v>100</v>
      </c>
      <c r="C284" s="36" t="s">
        <v>49</v>
      </c>
      <c r="D284" t="s">
        <v>50</v>
      </c>
      <c r="F284" s="56" t="s">
        <v>272</v>
      </c>
      <c r="G284" t="s">
        <v>176</v>
      </c>
    </row>
    <row r="285" spans="1:7">
      <c r="A285" t="str">
        <f>B285&amp;Table4[[#This Row],[Tipo Servicio]]</f>
        <v>TABASCO-VER SURDOOR TO DOOR - ALMACENAMIENTO</v>
      </c>
      <c r="B285" t="s">
        <v>92</v>
      </c>
      <c r="C285" s="36" t="s">
        <v>267</v>
      </c>
      <c r="D285" t="s">
        <v>103</v>
      </c>
      <c r="E285" t="s">
        <v>103</v>
      </c>
      <c r="F285" s="56" t="s">
        <v>268</v>
      </c>
      <c r="G285" t="s">
        <v>176</v>
      </c>
    </row>
    <row r="286" spans="1:7">
      <c r="A286" t="str">
        <f>B286&amp;Table4[[#This Row],[Tipo Servicio]]</f>
        <v>VDMDOOR TO DOOR - ALMACENAMIENTO</v>
      </c>
      <c r="B286" t="s">
        <v>96</v>
      </c>
      <c r="C286" s="36" t="s">
        <v>267</v>
      </c>
      <c r="D286" t="s">
        <v>103</v>
      </c>
      <c r="E286" t="s">
        <v>103</v>
      </c>
      <c r="F286" s="56" t="s">
        <v>268</v>
      </c>
      <c r="G286" t="str">
        <f>_xlfn.XLOOKUP(Table4[[#This Row],[GZ]],'[1]BASE TRADE'!$R:$R,'[1]BASE TRADE'!$Q:$Q)</f>
        <v>4. Center</v>
      </c>
    </row>
    <row r="287" spans="1:7">
      <c r="A287" t="str">
        <f>B287&amp;Table4[[#This Row],[Tipo Servicio]]</f>
        <v>AGS-ZAC-SLPRETIRO - ENFRIADOR</v>
      </c>
      <c r="B287" t="s">
        <v>61</v>
      </c>
      <c r="C287" t="s">
        <v>218</v>
      </c>
      <c r="D287" t="s">
        <v>45</v>
      </c>
      <c r="F287" s="56" t="s">
        <v>273</v>
      </c>
      <c r="G287" t="s">
        <v>219</v>
      </c>
    </row>
    <row r="288" spans="1:7">
      <c r="A288" t="str">
        <f>B288&amp;Table4[[#This Row],[Tipo Servicio]]</f>
        <v>AGS-ZAC-SLPPRIMERA POSICION - ENFRIADOR</v>
      </c>
      <c r="B288" t="s">
        <v>61</v>
      </c>
      <c r="C288" t="s">
        <v>218</v>
      </c>
      <c r="D288" t="s">
        <v>45</v>
      </c>
      <c r="F288" s="56" t="s">
        <v>274</v>
      </c>
      <c r="G288" t="s">
        <v>219</v>
      </c>
    </row>
    <row r="289" spans="1:7">
      <c r="A289" t="str">
        <f>B289&amp;Table4[[#This Row],[Tipo Servicio]]</f>
        <v>AGS-ZAC-SLPSERVICIO EXPRESS PISO - ENFRIADOR</v>
      </c>
      <c r="B289" t="s">
        <v>61</v>
      </c>
      <c r="C289" t="s">
        <v>221</v>
      </c>
      <c r="D289" t="s">
        <v>132</v>
      </c>
      <c r="F289" s="56" t="s">
        <v>275</v>
      </c>
      <c r="G289" t="s">
        <v>219</v>
      </c>
    </row>
    <row r="290" spans="1:7">
      <c r="A290" t="str">
        <f>B290&amp;Table4[[#This Row],[Tipo Servicio]]</f>
        <v>AGS-ZAC-SLPMTTO CORRECTIVO PISO - BARRIL</v>
      </c>
      <c r="B290" t="s">
        <v>61</v>
      </c>
      <c r="C290" t="s">
        <v>222</v>
      </c>
      <c r="D290" t="s">
        <v>47</v>
      </c>
      <c r="F290" s="56" t="s">
        <v>276</v>
      </c>
      <c r="G290" t="s">
        <v>219</v>
      </c>
    </row>
    <row r="291" spans="1:7">
      <c r="A291" t="str">
        <f>B291&amp;Table4[[#This Row],[Tipo Servicio]]</f>
        <v>AGS-ZAC-SLPMTTO PREVENTIVO RUTA - BARRIL</v>
      </c>
      <c r="B291" t="s">
        <v>61</v>
      </c>
      <c r="C291" t="s">
        <v>222</v>
      </c>
      <c r="D291" t="s">
        <v>47</v>
      </c>
      <c r="F291" s="56" t="s">
        <v>277</v>
      </c>
      <c r="G291" t="s">
        <v>219</v>
      </c>
    </row>
    <row r="292" spans="1:7">
      <c r="A292" t="str">
        <f>B292&amp;Table4[[#This Row],[Tipo Servicio]]</f>
        <v>AGS-ZAC-SLPRECARGA CO2 - BARRIL</v>
      </c>
      <c r="B292" t="s">
        <v>61</v>
      </c>
      <c r="C292" t="s">
        <v>222</v>
      </c>
      <c r="D292" t="s">
        <v>47</v>
      </c>
      <c r="F292" s="56" t="s">
        <v>278</v>
      </c>
      <c r="G292" t="s">
        <v>219</v>
      </c>
    </row>
    <row r="293" spans="1:7">
      <c r="A293" t="str">
        <f>B293&amp;Table4[[#This Row],[Tipo Servicio]]</f>
        <v>AGS-ZAC-SLPINSTALACION - BARRIL</v>
      </c>
      <c r="B293" t="s">
        <v>61</v>
      </c>
      <c r="C293" t="s">
        <v>218</v>
      </c>
      <c r="D293" t="s">
        <v>45</v>
      </c>
      <c r="F293" s="56" t="s">
        <v>279</v>
      </c>
      <c r="G293" t="s">
        <v>219</v>
      </c>
    </row>
    <row r="294" spans="1:7">
      <c r="A294" t="str">
        <f>B294&amp;Table4[[#This Row],[Tipo Servicio]]</f>
        <v>AGS-ZAC-SLPRETIRO - BARRIL</v>
      </c>
      <c r="B294" t="s">
        <v>61</v>
      </c>
      <c r="C294" t="s">
        <v>218</v>
      </c>
      <c r="D294" t="s">
        <v>45</v>
      </c>
      <c r="F294" s="56" t="s">
        <v>280</v>
      </c>
      <c r="G294" t="s">
        <v>219</v>
      </c>
    </row>
    <row r="295" spans="1:7">
      <c r="A295" t="str">
        <f>B295&amp;Table4[[#This Row],[Tipo Servicio]]</f>
        <v>AGS-ZAC-SLPMTTO PREVENTIVO RUTA - CUARTO FRIO</v>
      </c>
      <c r="B295" t="s">
        <v>61</v>
      </c>
      <c r="C295" t="s">
        <v>263</v>
      </c>
      <c r="D295" t="s">
        <v>128</v>
      </c>
      <c r="F295" s="56" t="s">
        <v>281</v>
      </c>
      <c r="G295" t="s">
        <v>219</v>
      </c>
    </row>
    <row r="296" spans="1:7">
      <c r="A296" t="str">
        <f>B296&amp;Table4[[#This Row],[Tipo Servicio]]</f>
        <v>AGS-ZAC-SLPINSTALACION - CUARTO FRIO</v>
      </c>
      <c r="B296" t="s">
        <v>61</v>
      </c>
      <c r="C296" t="s">
        <v>218</v>
      </c>
      <c r="D296" t="s">
        <v>45</v>
      </c>
      <c r="F296" s="56" t="s">
        <v>282</v>
      </c>
      <c r="G296" t="s">
        <v>219</v>
      </c>
    </row>
    <row r="297" spans="1:7">
      <c r="A297" t="str">
        <f>B297&amp;Table4[[#This Row],[Tipo Servicio]]</f>
        <v>AGS-ZAC-SLPRETIRO - CUARTO FRIO</v>
      </c>
      <c r="B297" t="s">
        <v>61</v>
      </c>
      <c r="C297" t="s">
        <v>218</v>
      </c>
      <c r="D297" t="s">
        <v>45</v>
      </c>
      <c r="F297" s="56" t="s">
        <v>283</v>
      </c>
      <c r="G297" t="s">
        <v>219</v>
      </c>
    </row>
    <row r="298" spans="1:7">
      <c r="A298" t="str">
        <f>B298&amp;Table4[[#This Row],[Tipo Servicio]]</f>
        <v>AGS-ZAC-SLPINSTALACION - MAQUINA HIELO</v>
      </c>
      <c r="B298" t="s">
        <v>61</v>
      </c>
      <c r="C298" t="s">
        <v>218</v>
      </c>
      <c r="D298" t="s">
        <v>45</v>
      </c>
      <c r="F298" s="56" t="s">
        <v>284</v>
      </c>
      <c r="G298" t="s">
        <v>219</v>
      </c>
    </row>
    <row r="299" spans="1:7">
      <c r="A299" t="str">
        <f>B299&amp;Table4[[#This Row],[Tipo Servicio]]</f>
        <v>AGS-ZAC-SLPRETIRO - MAQUINA HIELO</v>
      </c>
      <c r="B299" t="s">
        <v>61</v>
      </c>
      <c r="C299" t="s">
        <v>218</v>
      </c>
      <c r="D299" t="s">
        <v>45</v>
      </c>
      <c r="F299" s="56" t="s">
        <v>285</v>
      </c>
      <c r="G299" t="s">
        <v>219</v>
      </c>
    </row>
    <row r="300" spans="1:7">
      <c r="A300" t="str">
        <f>B300&amp;Table4[[#This Row],[Tipo Servicio]]</f>
        <v>AGS-ZAC-SLPMTTO CORRECTIVO PISO - MAQUINA HIELO</v>
      </c>
      <c r="B300" t="s">
        <v>61</v>
      </c>
      <c r="C300" t="s">
        <v>263</v>
      </c>
      <c r="D300" t="s">
        <v>128</v>
      </c>
      <c r="F300" s="56" t="s">
        <v>286</v>
      </c>
      <c r="G300" t="s">
        <v>219</v>
      </c>
    </row>
    <row r="301" spans="1:7">
      <c r="A301" t="str">
        <f>B301&amp;Table4[[#This Row],[Tipo Servicio]]</f>
        <v>BCNINSTALACION - MAQUINA HIELO</v>
      </c>
      <c r="B301" t="s">
        <v>64</v>
      </c>
      <c r="C301" t="s">
        <v>174</v>
      </c>
      <c r="D301" t="s">
        <v>45</v>
      </c>
      <c r="F301" s="56" t="s">
        <v>284</v>
      </c>
      <c r="G301" t="s">
        <v>139</v>
      </c>
    </row>
    <row r="302" spans="1:7">
      <c r="A302" t="str">
        <f>B302&amp;Table4[[#This Row],[Tipo Servicio]]</f>
        <v>BCNINSTALACION - BARRIL</v>
      </c>
      <c r="B302" t="s">
        <v>64</v>
      </c>
      <c r="C302" t="s">
        <v>174</v>
      </c>
      <c r="D302" t="s">
        <v>45</v>
      </c>
      <c r="F302" s="56" t="s">
        <v>279</v>
      </c>
      <c r="G302" t="s">
        <v>139</v>
      </c>
    </row>
    <row r="303" spans="1:7">
      <c r="A303" t="str">
        <f>B303&amp;Table4[[#This Row],[Tipo Servicio]]</f>
        <v>BCNINSTALACION - CUARTO FRIO</v>
      </c>
      <c r="B303" t="s">
        <v>64</v>
      </c>
      <c r="C303" t="s">
        <v>174</v>
      </c>
      <c r="D303" t="s">
        <v>45</v>
      </c>
      <c r="F303" s="56" t="s">
        <v>282</v>
      </c>
      <c r="G303" t="s">
        <v>139</v>
      </c>
    </row>
    <row r="304" spans="1:7">
      <c r="A304" t="str">
        <f>B304&amp;Table4[[#This Row],[Tipo Servicio]]</f>
        <v>BCNRETIRO - ENFRIADOR</v>
      </c>
      <c r="B304" t="s">
        <v>64</v>
      </c>
      <c r="C304" t="s">
        <v>174</v>
      </c>
      <c r="D304" t="s">
        <v>45</v>
      </c>
      <c r="F304" s="56" t="s">
        <v>273</v>
      </c>
      <c r="G304" t="s">
        <v>139</v>
      </c>
    </row>
    <row r="305" spans="1:7">
      <c r="A305" t="str">
        <f>B305&amp;Table4[[#This Row],[Tipo Servicio]]</f>
        <v>BCNRETIRO - MAQUINA HIELO</v>
      </c>
      <c r="B305" t="s">
        <v>64</v>
      </c>
      <c r="C305" t="s">
        <v>174</v>
      </c>
      <c r="D305" t="s">
        <v>45</v>
      </c>
      <c r="F305" s="56" t="s">
        <v>285</v>
      </c>
      <c r="G305" t="s">
        <v>139</v>
      </c>
    </row>
    <row r="306" spans="1:7">
      <c r="A306" t="str">
        <f>B306&amp;Table4[[#This Row],[Tipo Servicio]]</f>
        <v>BCNRETIRO - BARRIL</v>
      </c>
      <c r="B306" t="s">
        <v>64</v>
      </c>
      <c r="C306" t="s">
        <v>174</v>
      </c>
      <c r="D306" t="s">
        <v>45</v>
      </c>
      <c r="F306" s="56" t="s">
        <v>280</v>
      </c>
      <c r="G306" t="s">
        <v>139</v>
      </c>
    </row>
    <row r="307" spans="1:7">
      <c r="A307" t="str">
        <f>B307&amp;Table4[[#This Row],[Tipo Servicio]]</f>
        <v>BCNRETIRO - CUARTO FRIO</v>
      </c>
      <c r="B307" t="s">
        <v>64</v>
      </c>
      <c r="C307" t="s">
        <v>174</v>
      </c>
      <c r="D307" t="s">
        <v>45</v>
      </c>
      <c r="F307" s="56" t="s">
        <v>283</v>
      </c>
      <c r="G307" t="s">
        <v>139</v>
      </c>
    </row>
    <row r="308" spans="1:7">
      <c r="A308" t="str">
        <f>B308&amp;Table4[[#This Row],[Tipo Servicio]]</f>
        <v>BCNPRIMERA POSICION - ENFRIADOR</v>
      </c>
      <c r="B308" t="s">
        <v>64</v>
      </c>
      <c r="C308" t="s">
        <v>174</v>
      </c>
      <c r="D308" t="s">
        <v>45</v>
      </c>
      <c r="F308" s="56" t="s">
        <v>274</v>
      </c>
      <c r="G308" t="s">
        <v>139</v>
      </c>
    </row>
    <row r="309" spans="1:7">
      <c r="A309" t="str">
        <f>B309&amp;Table4[[#This Row],[Tipo Servicio]]</f>
        <v>BCNMTTO CORRECTIVO PISO - BARRIL</v>
      </c>
      <c r="B309" t="s">
        <v>64</v>
      </c>
      <c r="C309" t="s">
        <v>170</v>
      </c>
      <c r="D309" t="s">
        <v>47</v>
      </c>
      <c r="F309" s="56" t="s">
        <v>276</v>
      </c>
      <c r="G309" t="s">
        <v>139</v>
      </c>
    </row>
    <row r="310" spans="1:7">
      <c r="A310" t="str">
        <f>B310&amp;Table4[[#This Row],[Tipo Servicio]]</f>
        <v>BCNMTTO PREVENTIVO RUTA - BARRIL</v>
      </c>
      <c r="B310" t="s">
        <v>64</v>
      </c>
      <c r="C310" t="s">
        <v>170</v>
      </c>
      <c r="D310" t="s">
        <v>47</v>
      </c>
      <c r="F310" s="56" t="s">
        <v>277</v>
      </c>
      <c r="G310" t="s">
        <v>139</v>
      </c>
    </row>
    <row r="311" spans="1:7">
      <c r="A311" t="str">
        <f>B311&amp;Table4[[#This Row],[Tipo Servicio]]</f>
        <v>BCNRECARGA CO2 - BARRIL</v>
      </c>
      <c r="B311" t="s">
        <v>64</v>
      </c>
      <c r="C311" t="s">
        <v>170</v>
      </c>
      <c r="D311" t="s">
        <v>47</v>
      </c>
      <c r="F311" s="56" t="s">
        <v>278</v>
      </c>
      <c r="G311" t="s">
        <v>139</v>
      </c>
    </row>
    <row r="312" spans="1:7">
      <c r="A312" t="str">
        <f>B312&amp;Table4[[#This Row],[Tipo Servicio]]</f>
        <v>BCNMTTO PREVENTIVO RUTA - CUARTO FRIO</v>
      </c>
      <c r="B312" t="s">
        <v>64</v>
      </c>
      <c r="C312" t="s">
        <v>171</v>
      </c>
      <c r="D312" t="s">
        <v>142</v>
      </c>
      <c r="F312" s="56" t="s">
        <v>281</v>
      </c>
      <c r="G312" t="s">
        <v>139</v>
      </c>
    </row>
    <row r="313" spans="1:7">
      <c r="A313" t="str">
        <f>B313&amp;Table4[[#This Row],[Tipo Servicio]]</f>
        <v>BCNSERVICIO EXPRESS PISO - ENFRIADOR</v>
      </c>
      <c r="B313" t="s">
        <v>64</v>
      </c>
      <c r="C313" t="s">
        <v>173</v>
      </c>
      <c r="D313" t="s">
        <v>132</v>
      </c>
      <c r="E313" t="s">
        <v>135</v>
      </c>
      <c r="F313" s="56" t="s">
        <v>275</v>
      </c>
      <c r="G313" t="s">
        <v>139</v>
      </c>
    </row>
    <row r="314" spans="1:7">
      <c r="A314" t="str">
        <f>B314&amp;Table4[[#This Row],[Tipo Servicio]]</f>
        <v>BCNMTTO CORRECTIVO PISO - MAQUINA HIELO</v>
      </c>
      <c r="B314" t="s">
        <v>64</v>
      </c>
      <c r="C314" t="s">
        <v>172</v>
      </c>
      <c r="D314" t="s">
        <v>128</v>
      </c>
      <c r="F314" s="56" t="s">
        <v>286</v>
      </c>
      <c r="G314" t="s">
        <v>139</v>
      </c>
    </row>
    <row r="315" spans="1:7">
      <c r="A315" t="str">
        <f>B315&amp;Table4[[#This Row],[Tipo Servicio]]</f>
        <v>BCNMTTO PREVENTIVO RUTA - MAQUINA HIELO</v>
      </c>
      <c r="B315" t="s">
        <v>64</v>
      </c>
      <c r="C315" t="s">
        <v>172</v>
      </c>
      <c r="D315" t="s">
        <v>128</v>
      </c>
      <c r="F315" s="56" t="s">
        <v>287</v>
      </c>
      <c r="G315" t="s">
        <v>139</v>
      </c>
    </row>
    <row r="316" spans="1:7">
      <c r="A316" t="str">
        <f>B316&amp;Table4[[#This Row],[Tipo Servicio]]</f>
        <v>AGS-ZAC-SLPREFACCIONES - BARRIL</v>
      </c>
      <c r="B316" t="s">
        <v>61</v>
      </c>
      <c r="C316" t="s">
        <v>222</v>
      </c>
      <c r="D316" t="s">
        <v>47</v>
      </c>
      <c r="F316" s="56" t="s">
        <v>102</v>
      </c>
      <c r="G316" t="s">
        <v>219</v>
      </c>
    </row>
    <row r="317" spans="1:7">
      <c r="A317" t="str">
        <f>B317&amp;Table4[[#This Row],[Tipo Servicio]]</f>
        <v>AGS-ZAC-SLPREFACCIONES - ENFRIADOR</v>
      </c>
      <c r="B317" t="s">
        <v>61</v>
      </c>
      <c r="C317" t="s">
        <v>221</v>
      </c>
      <c r="D317" t="s">
        <v>132</v>
      </c>
      <c r="F317" s="56" t="s">
        <v>41</v>
      </c>
      <c r="G317" t="s">
        <v>219</v>
      </c>
    </row>
    <row r="318" spans="1:7">
      <c r="A318" t="str">
        <f>B318&amp;Table4[[#This Row],[Tipo Servicio]]</f>
        <v>AGS-ZAC-SLPREFACCIONES - MAQUINA HIELO</v>
      </c>
      <c r="B318" t="s">
        <v>61</v>
      </c>
      <c r="C318" t="s">
        <v>263</v>
      </c>
      <c r="D318" t="s">
        <v>128</v>
      </c>
      <c r="F318" s="56" t="s">
        <v>39</v>
      </c>
      <c r="G318" t="s">
        <v>219</v>
      </c>
    </row>
    <row r="319" spans="1:7">
      <c r="A319" t="str">
        <f>B319&amp;Table4[[#This Row],[Tipo Servicio]]</f>
        <v>BCNREFACCIONES - BARRIL</v>
      </c>
      <c r="B319" t="s">
        <v>64</v>
      </c>
      <c r="C319" t="s">
        <v>170</v>
      </c>
      <c r="D319" t="s">
        <v>47</v>
      </c>
      <c r="F319" s="56" t="s">
        <v>102</v>
      </c>
      <c r="G319" t="s">
        <v>139</v>
      </c>
    </row>
    <row r="320" spans="1:7">
      <c r="A320" t="str">
        <f>B320&amp;Table4[[#This Row],[Tipo Servicio]]</f>
        <v>BCNREFACCIONES - CUARTO FRIO</v>
      </c>
      <c r="B320" t="s">
        <v>64</v>
      </c>
      <c r="C320" t="s">
        <v>171</v>
      </c>
      <c r="D320" t="s">
        <v>142</v>
      </c>
      <c r="F320" s="56" t="s">
        <v>105</v>
      </c>
      <c r="G320" t="s">
        <v>139</v>
      </c>
    </row>
    <row r="321" spans="1:7">
      <c r="A321" t="str">
        <f>B321&amp;Table4[[#This Row],[Tipo Servicio]]</f>
        <v>BCNREFACCIONES - ENFRIADOR</v>
      </c>
      <c r="B321" t="s">
        <v>64</v>
      </c>
      <c r="C321" t="s">
        <v>173</v>
      </c>
      <c r="D321" t="s">
        <v>132</v>
      </c>
      <c r="E321" t="s">
        <v>135</v>
      </c>
      <c r="F321" s="56" t="s">
        <v>41</v>
      </c>
      <c r="G321" t="s">
        <v>139</v>
      </c>
    </row>
    <row r="322" spans="1:7">
      <c r="A322" t="str">
        <f>B322&amp;Table4[[#This Row],[Tipo Servicio]]</f>
        <v>BCNREFACCIONES - MAQUINA HIELO</v>
      </c>
      <c r="B322" t="s">
        <v>64</v>
      </c>
      <c r="C322" t="s">
        <v>172</v>
      </c>
      <c r="D322" t="s">
        <v>128</v>
      </c>
      <c r="F322" s="56" t="s">
        <v>39</v>
      </c>
      <c r="G322" t="s">
        <v>139</v>
      </c>
    </row>
    <row r="323" spans="1:7">
      <c r="A323" t="str">
        <f>B323&amp;Table4[[#This Row],[Tipo Servicio]]</f>
        <v>BCSINSTALACION - MAQUINA HIELO</v>
      </c>
      <c r="B323" t="s">
        <v>67</v>
      </c>
      <c r="C323" t="s">
        <v>151</v>
      </c>
      <c r="D323" t="s">
        <v>45</v>
      </c>
      <c r="F323" s="56" t="s">
        <v>284</v>
      </c>
      <c r="G323" t="s">
        <v>139</v>
      </c>
    </row>
    <row r="324" spans="1:7">
      <c r="A324" t="str">
        <f>B324&amp;Table4[[#This Row],[Tipo Servicio]]</f>
        <v>BCSINSTALACION - BARRIL</v>
      </c>
      <c r="B324" t="s">
        <v>67</v>
      </c>
      <c r="C324" t="s">
        <v>151</v>
      </c>
      <c r="D324" t="s">
        <v>45</v>
      </c>
      <c r="F324" s="56" t="s">
        <v>279</v>
      </c>
      <c r="G324" t="s">
        <v>139</v>
      </c>
    </row>
    <row r="325" spans="1:7">
      <c r="A325" t="str">
        <f>B325&amp;Table4[[#This Row],[Tipo Servicio]]</f>
        <v>BCSINSTALACION - CUARTO FRIO</v>
      </c>
      <c r="B325" t="s">
        <v>67</v>
      </c>
      <c r="C325" t="s">
        <v>151</v>
      </c>
      <c r="D325" t="s">
        <v>45</v>
      </c>
      <c r="F325" s="56" t="s">
        <v>282</v>
      </c>
      <c r="G325" t="s">
        <v>139</v>
      </c>
    </row>
    <row r="326" spans="1:7">
      <c r="A326" t="str">
        <f>B326&amp;Table4[[#This Row],[Tipo Servicio]]</f>
        <v>BCSRETIRO - ENFRIADOR</v>
      </c>
      <c r="B326" t="s">
        <v>67</v>
      </c>
      <c r="C326" t="s">
        <v>151</v>
      </c>
      <c r="D326" t="s">
        <v>45</v>
      </c>
      <c r="F326" s="56" t="s">
        <v>273</v>
      </c>
      <c r="G326" t="s">
        <v>139</v>
      </c>
    </row>
    <row r="327" spans="1:7">
      <c r="A327" t="str">
        <f>B327&amp;Table4[[#This Row],[Tipo Servicio]]</f>
        <v>BCSRETIRO - MAQUINA HIELO</v>
      </c>
      <c r="B327" t="s">
        <v>67</v>
      </c>
      <c r="C327" t="s">
        <v>151</v>
      </c>
      <c r="D327" t="s">
        <v>45</v>
      </c>
      <c r="F327" s="56" t="s">
        <v>285</v>
      </c>
      <c r="G327" t="s">
        <v>139</v>
      </c>
    </row>
    <row r="328" spans="1:7">
      <c r="A328" t="str">
        <f>B328&amp;Table4[[#This Row],[Tipo Servicio]]</f>
        <v>BCSRETIRO - BARRIL</v>
      </c>
      <c r="B328" t="s">
        <v>67</v>
      </c>
      <c r="C328" t="s">
        <v>151</v>
      </c>
      <c r="D328" t="s">
        <v>45</v>
      </c>
      <c r="F328" s="56" t="s">
        <v>280</v>
      </c>
      <c r="G328" t="s">
        <v>139</v>
      </c>
    </row>
    <row r="329" spans="1:7">
      <c r="A329" t="str">
        <f>B329&amp;Table4[[#This Row],[Tipo Servicio]]</f>
        <v>BCSRETIRO - CUARTO FRIO</v>
      </c>
      <c r="B329" t="s">
        <v>67</v>
      </c>
      <c r="C329" t="s">
        <v>151</v>
      </c>
      <c r="D329" t="s">
        <v>45</v>
      </c>
      <c r="F329" s="56" t="s">
        <v>283</v>
      </c>
      <c r="G329" t="s">
        <v>139</v>
      </c>
    </row>
    <row r="330" spans="1:7">
      <c r="A330" t="str">
        <f>B330&amp;Table4[[#This Row],[Tipo Servicio]]</f>
        <v>BCSPRIMERA POSICION - ENFRIADOR</v>
      </c>
      <c r="B330" t="s">
        <v>67</v>
      </c>
      <c r="C330" t="s">
        <v>151</v>
      </c>
      <c r="D330" t="s">
        <v>45</v>
      </c>
      <c r="F330" s="56" t="s">
        <v>274</v>
      </c>
      <c r="G330" t="s">
        <v>139</v>
      </c>
    </row>
    <row r="331" spans="1:7">
      <c r="A331" t="str">
        <f>B331&amp;Table4[[#This Row],[Tipo Servicio]]</f>
        <v>BCSMTTO CORRECTIVO PISO - BARRIL</v>
      </c>
      <c r="B331" t="s">
        <v>67</v>
      </c>
      <c r="C331" t="s">
        <v>147</v>
      </c>
      <c r="D331" t="s">
        <v>47</v>
      </c>
      <c r="F331" s="56" t="s">
        <v>276</v>
      </c>
      <c r="G331" t="s">
        <v>139</v>
      </c>
    </row>
    <row r="332" spans="1:7">
      <c r="A332" t="str">
        <f>B332&amp;Table4[[#This Row],[Tipo Servicio]]</f>
        <v>BCSMTTO PREVENTIVO RUTA - BARRIL</v>
      </c>
      <c r="B332" t="s">
        <v>67</v>
      </c>
      <c r="C332" t="s">
        <v>147</v>
      </c>
      <c r="D332" t="s">
        <v>47</v>
      </c>
      <c r="F332" s="56" t="s">
        <v>277</v>
      </c>
      <c r="G332" t="s">
        <v>139</v>
      </c>
    </row>
    <row r="333" spans="1:7">
      <c r="A333" t="str">
        <f>B333&amp;Table4[[#This Row],[Tipo Servicio]]</f>
        <v>BCSRECARGA CO2 - BARRIL</v>
      </c>
      <c r="B333" t="s">
        <v>67</v>
      </c>
      <c r="C333" t="s">
        <v>147</v>
      </c>
      <c r="D333" t="s">
        <v>47</v>
      </c>
      <c r="F333" s="56" t="s">
        <v>278</v>
      </c>
      <c r="G333" t="s">
        <v>139</v>
      </c>
    </row>
    <row r="334" spans="1:7">
      <c r="A334" t="str">
        <f>B334&amp;Table4[[#This Row],[Tipo Servicio]]</f>
        <v>BCSREFACCIONES - BARRIL</v>
      </c>
      <c r="B334" t="s">
        <v>67</v>
      </c>
      <c r="C334" t="s">
        <v>147</v>
      </c>
      <c r="D334" t="s">
        <v>47</v>
      </c>
      <c r="F334" s="56" t="s">
        <v>102</v>
      </c>
      <c r="G334" t="s">
        <v>139</v>
      </c>
    </row>
    <row r="335" spans="1:7">
      <c r="A335" t="str">
        <f>B335&amp;Table4[[#This Row],[Tipo Servicio]]</f>
        <v>BCSMTTO PREVENTIVO RUTA - CUARTO FRIO</v>
      </c>
      <c r="B335" t="s">
        <v>67</v>
      </c>
      <c r="C335" t="s">
        <v>148</v>
      </c>
      <c r="D335" t="s">
        <v>142</v>
      </c>
      <c r="F335" s="56" t="s">
        <v>281</v>
      </c>
      <c r="G335" t="s">
        <v>139</v>
      </c>
    </row>
    <row r="336" spans="1:7">
      <c r="A336" t="str">
        <f>B336&amp;Table4[[#This Row],[Tipo Servicio]]</f>
        <v>BCSREFACCIONES - CUARTO FRIO</v>
      </c>
      <c r="B336" t="s">
        <v>67</v>
      </c>
      <c r="C336" t="s">
        <v>148</v>
      </c>
      <c r="D336" t="s">
        <v>142</v>
      </c>
      <c r="F336" s="56" t="s">
        <v>105</v>
      </c>
      <c r="G336" t="s">
        <v>139</v>
      </c>
    </row>
    <row r="337" spans="1:7">
      <c r="A337" t="str">
        <f>B337&amp;Table4[[#This Row],[Tipo Servicio]]</f>
        <v>BCSSERVICIO EXPRESS PISO - ENFRIADOR</v>
      </c>
      <c r="B337" t="s">
        <v>67</v>
      </c>
      <c r="C337" t="s">
        <v>150</v>
      </c>
      <c r="D337" t="s">
        <v>132</v>
      </c>
      <c r="E337" t="s">
        <v>135</v>
      </c>
      <c r="F337" s="56" t="s">
        <v>275</v>
      </c>
      <c r="G337" t="s">
        <v>139</v>
      </c>
    </row>
    <row r="338" spans="1:7">
      <c r="A338" t="str">
        <f>B338&amp;Table4[[#This Row],[Tipo Servicio]]</f>
        <v>BCSREFACCIONES - ENFRIADOR</v>
      </c>
      <c r="B338" t="s">
        <v>67</v>
      </c>
      <c r="C338" t="s">
        <v>150</v>
      </c>
      <c r="D338" t="s">
        <v>132</v>
      </c>
      <c r="E338" t="s">
        <v>135</v>
      </c>
      <c r="F338" s="56" t="s">
        <v>41</v>
      </c>
      <c r="G338" t="s">
        <v>139</v>
      </c>
    </row>
    <row r="339" spans="1:7">
      <c r="A339" t="str">
        <f>B339&amp;Table4[[#This Row],[Tipo Servicio]]</f>
        <v>BCSMTTO CORRECTIVO PISO - MAQUINA HIELO</v>
      </c>
      <c r="B339" t="s">
        <v>67</v>
      </c>
      <c r="C339" t="s">
        <v>149</v>
      </c>
      <c r="D339" t="s">
        <v>128</v>
      </c>
      <c r="F339" s="56" t="s">
        <v>286</v>
      </c>
      <c r="G339" t="s">
        <v>139</v>
      </c>
    </row>
    <row r="340" spans="1:7">
      <c r="A340" t="str">
        <f>B340&amp;Table4[[#This Row],[Tipo Servicio]]</f>
        <v>BCSMTTO PREVENTIVO RUTA - MAQUINA HIELO</v>
      </c>
      <c r="B340" t="s">
        <v>67</v>
      </c>
      <c r="C340" t="s">
        <v>149</v>
      </c>
      <c r="D340" t="s">
        <v>128</v>
      </c>
      <c r="F340" s="56" t="s">
        <v>287</v>
      </c>
      <c r="G340" t="s">
        <v>139</v>
      </c>
    </row>
    <row r="341" spans="1:7">
      <c r="A341" t="str">
        <f>B341&amp;Table4[[#This Row],[Tipo Servicio]]</f>
        <v>BCSREFACCIONES - MAQUINA HIELO</v>
      </c>
      <c r="B341" t="s">
        <v>67</v>
      </c>
      <c r="C341" t="s">
        <v>149</v>
      </c>
      <c r="D341" t="s">
        <v>128</v>
      </c>
      <c r="F341" s="56" t="s">
        <v>39</v>
      </c>
      <c r="G341" t="s">
        <v>139</v>
      </c>
    </row>
    <row r="342" spans="1:7">
      <c r="A342" t="str">
        <f>B342&amp;Table4[[#This Row],[Tipo Servicio]]</f>
        <v>CHIHUAHUAINSTALACION - MAQUINA HIELO</v>
      </c>
      <c r="B342" t="s">
        <v>70</v>
      </c>
      <c r="C342" t="s">
        <v>163</v>
      </c>
      <c r="D342" t="s">
        <v>45</v>
      </c>
      <c r="F342" s="56" t="s">
        <v>284</v>
      </c>
      <c r="G342" t="str">
        <f>_xlfn.XLOOKUP(Table4[[#This Row],[GZ]],'[1]BASE TRADE'!$R:$R,'[1]BASE TRADE'!$Q:$Q)</f>
        <v>1. Northwest</v>
      </c>
    </row>
    <row r="343" spans="1:7">
      <c r="A343" t="str">
        <f>B343&amp;Table4[[#This Row],[Tipo Servicio]]</f>
        <v>CHIHUAHUAINSTALACION - BARRIL</v>
      </c>
      <c r="B343" t="s">
        <v>70</v>
      </c>
      <c r="C343" t="s">
        <v>163</v>
      </c>
      <c r="D343" t="s">
        <v>45</v>
      </c>
      <c r="F343" s="56" t="s">
        <v>279</v>
      </c>
      <c r="G343" t="str">
        <f>_xlfn.XLOOKUP(Table4[[#This Row],[GZ]],'[1]BASE TRADE'!$R:$R,'[1]BASE TRADE'!$Q:$Q)</f>
        <v>1. Northwest</v>
      </c>
    </row>
    <row r="344" spans="1:7">
      <c r="A344" t="str">
        <f>B344&amp;Table4[[#This Row],[Tipo Servicio]]</f>
        <v>CHIHUAHUAINSTALACION - CUARTO FRIO</v>
      </c>
      <c r="B344" t="s">
        <v>70</v>
      </c>
      <c r="C344" t="s">
        <v>163</v>
      </c>
      <c r="D344" t="s">
        <v>45</v>
      </c>
      <c r="F344" s="56" t="s">
        <v>282</v>
      </c>
      <c r="G344" t="str">
        <f>_xlfn.XLOOKUP(Table4[[#This Row],[GZ]],'[1]BASE TRADE'!$R:$R,'[1]BASE TRADE'!$Q:$Q)</f>
        <v>1. Northwest</v>
      </c>
    </row>
    <row r="345" spans="1:7">
      <c r="A345" t="str">
        <f>B345&amp;Table4[[#This Row],[Tipo Servicio]]</f>
        <v>CHIHUAHUARETIRO - ENFRIADOR</v>
      </c>
      <c r="B345" t="s">
        <v>70</v>
      </c>
      <c r="C345" t="s">
        <v>163</v>
      </c>
      <c r="D345" t="s">
        <v>45</v>
      </c>
      <c r="F345" s="56" t="s">
        <v>273</v>
      </c>
      <c r="G345" t="str">
        <f>_xlfn.XLOOKUP(Table4[[#This Row],[GZ]],'[1]BASE TRADE'!$R:$R,'[1]BASE TRADE'!$Q:$Q)</f>
        <v>1. Northwest</v>
      </c>
    </row>
    <row r="346" spans="1:7">
      <c r="A346" t="str">
        <f>B346&amp;Table4[[#This Row],[Tipo Servicio]]</f>
        <v>CHIHUAHUARETIRO - MAQUINA HIELO</v>
      </c>
      <c r="B346" t="s">
        <v>70</v>
      </c>
      <c r="C346" t="s">
        <v>163</v>
      </c>
      <c r="D346" t="s">
        <v>45</v>
      </c>
      <c r="F346" s="56" t="s">
        <v>285</v>
      </c>
      <c r="G346" t="str">
        <f>_xlfn.XLOOKUP(Table4[[#This Row],[GZ]],'[1]BASE TRADE'!$R:$R,'[1]BASE TRADE'!$Q:$Q)</f>
        <v>1. Northwest</v>
      </c>
    </row>
    <row r="347" spans="1:7">
      <c r="A347" t="str">
        <f>B347&amp;Table4[[#This Row],[Tipo Servicio]]</f>
        <v>CHIHUAHUARETIRO - BARRIL</v>
      </c>
      <c r="B347" t="s">
        <v>70</v>
      </c>
      <c r="C347" t="s">
        <v>163</v>
      </c>
      <c r="D347" t="s">
        <v>45</v>
      </c>
      <c r="F347" s="56" t="s">
        <v>280</v>
      </c>
      <c r="G347" t="str">
        <f>_xlfn.XLOOKUP(Table4[[#This Row],[GZ]],'[1]BASE TRADE'!$R:$R,'[1]BASE TRADE'!$Q:$Q)</f>
        <v>1. Northwest</v>
      </c>
    </row>
    <row r="348" spans="1:7">
      <c r="A348" t="str">
        <f>B348&amp;Table4[[#This Row],[Tipo Servicio]]</f>
        <v>CHIHUAHUARETIRO - CUARTO FRIO</v>
      </c>
      <c r="B348" t="s">
        <v>70</v>
      </c>
      <c r="C348" t="s">
        <v>163</v>
      </c>
      <c r="D348" t="s">
        <v>45</v>
      </c>
      <c r="F348" s="56" t="s">
        <v>283</v>
      </c>
      <c r="G348" t="str">
        <f>_xlfn.XLOOKUP(Table4[[#This Row],[GZ]],'[1]BASE TRADE'!$R:$R,'[1]BASE TRADE'!$Q:$Q)</f>
        <v>1. Northwest</v>
      </c>
    </row>
    <row r="349" spans="1:7">
      <c r="A349" t="str">
        <f>B349&amp;Table4[[#This Row],[Tipo Servicio]]</f>
        <v>CHIHUAHUAPRIMERA POSICION - ENFRIADOR</v>
      </c>
      <c r="B349" t="s">
        <v>70</v>
      </c>
      <c r="C349" t="s">
        <v>163</v>
      </c>
      <c r="D349" t="s">
        <v>45</v>
      </c>
      <c r="F349" s="56" t="s">
        <v>274</v>
      </c>
      <c r="G349" t="str">
        <f>_xlfn.XLOOKUP(Table4[[#This Row],[GZ]],'[1]BASE TRADE'!$R:$R,'[1]BASE TRADE'!$Q:$Q)</f>
        <v>1. Northwest</v>
      </c>
    </row>
    <row r="350" spans="1:7">
      <c r="A350" t="str">
        <f>B350&amp;Table4[[#This Row],[Tipo Servicio]]</f>
        <v>CHIHUAHUAMTTO CORRECTIVO PISO - BARRIL</v>
      </c>
      <c r="B350" t="s">
        <v>70</v>
      </c>
      <c r="C350" t="s">
        <v>159</v>
      </c>
      <c r="D350" t="s">
        <v>47</v>
      </c>
      <c r="F350" s="56" t="s">
        <v>276</v>
      </c>
      <c r="G350" t="str">
        <f>_xlfn.XLOOKUP(Table4[[#This Row],[GZ]],'[1]BASE TRADE'!$R:$R,'[1]BASE TRADE'!$Q:$Q)</f>
        <v>1. Northwest</v>
      </c>
    </row>
    <row r="351" spans="1:7">
      <c r="A351" t="str">
        <f>B351&amp;Table4[[#This Row],[Tipo Servicio]]</f>
        <v>CHIHUAHUAMTTO PREVENTIVO RUTA - BARRIL</v>
      </c>
      <c r="B351" t="s">
        <v>70</v>
      </c>
      <c r="C351" t="s">
        <v>159</v>
      </c>
      <c r="D351" t="s">
        <v>47</v>
      </c>
      <c r="F351" s="56" t="s">
        <v>277</v>
      </c>
      <c r="G351" t="str">
        <f>_xlfn.XLOOKUP(Table4[[#This Row],[GZ]],'[1]BASE TRADE'!$R:$R,'[1]BASE TRADE'!$Q:$Q)</f>
        <v>1. Northwest</v>
      </c>
    </row>
    <row r="352" spans="1:7">
      <c r="A352" t="str">
        <f>B352&amp;Table4[[#This Row],[Tipo Servicio]]</f>
        <v>CHIHUAHUARECARGA CO2 - BARRIL</v>
      </c>
      <c r="B352" t="s">
        <v>70</v>
      </c>
      <c r="C352" t="s">
        <v>159</v>
      </c>
      <c r="D352" t="s">
        <v>47</v>
      </c>
      <c r="F352" s="56" t="s">
        <v>278</v>
      </c>
      <c r="G352" t="str">
        <f>_xlfn.XLOOKUP(Table4[[#This Row],[GZ]],'[1]BASE TRADE'!$R:$R,'[1]BASE TRADE'!$Q:$Q)</f>
        <v>1. Northwest</v>
      </c>
    </row>
    <row r="353" spans="1:7">
      <c r="A353" t="str">
        <f>B353&amp;Table4[[#This Row],[Tipo Servicio]]</f>
        <v>CHIHUAHUAREFACCIONES - BARRIL</v>
      </c>
      <c r="B353" t="s">
        <v>70</v>
      </c>
      <c r="C353" t="s">
        <v>159</v>
      </c>
      <c r="D353" t="s">
        <v>47</v>
      </c>
      <c r="F353" s="56" t="s">
        <v>102</v>
      </c>
      <c r="G353" t="str">
        <f>_xlfn.XLOOKUP(Table4[[#This Row],[GZ]],'[1]BASE TRADE'!$R:$R,'[1]BASE TRADE'!$Q:$Q)</f>
        <v>1. Northwest</v>
      </c>
    </row>
    <row r="354" spans="1:7">
      <c r="A354" t="str">
        <f>B354&amp;Table4[[#This Row],[Tipo Servicio]]</f>
        <v>CHIHUAHUAMTTO PREVENTIVO RUTA - CUARTO FRIO</v>
      </c>
      <c r="B354" t="s">
        <v>70</v>
      </c>
      <c r="C354" t="s">
        <v>160</v>
      </c>
      <c r="D354" t="s">
        <v>142</v>
      </c>
      <c r="F354" s="56" t="s">
        <v>281</v>
      </c>
      <c r="G354" t="str">
        <f>_xlfn.XLOOKUP(Table4[[#This Row],[GZ]],'[1]BASE TRADE'!$R:$R,'[1]BASE TRADE'!$Q:$Q)</f>
        <v>1. Northwest</v>
      </c>
    </row>
    <row r="355" spans="1:7">
      <c r="A355" t="str">
        <f>B355&amp;Table4[[#This Row],[Tipo Servicio]]</f>
        <v>CHIHUAHUAREFACCIONES - CUARTO FRIO</v>
      </c>
      <c r="B355" t="s">
        <v>70</v>
      </c>
      <c r="C355" t="s">
        <v>160</v>
      </c>
      <c r="D355" t="s">
        <v>142</v>
      </c>
      <c r="F355" s="56" t="s">
        <v>105</v>
      </c>
      <c r="G355" t="str">
        <f>_xlfn.XLOOKUP(Table4[[#This Row],[GZ]],'[1]BASE TRADE'!$R:$R,'[1]BASE TRADE'!$Q:$Q)</f>
        <v>1. Northwest</v>
      </c>
    </row>
    <row r="356" spans="1:7">
      <c r="A356" t="str">
        <f>B356&amp;Table4[[#This Row],[Tipo Servicio]]</f>
        <v>CHIHUAHUASERVICIO EXPRESS PISO - ENFRIADOR</v>
      </c>
      <c r="B356" t="s">
        <v>70</v>
      </c>
      <c r="C356" t="s">
        <v>162</v>
      </c>
      <c r="D356" t="s">
        <v>132</v>
      </c>
      <c r="E356" t="s">
        <v>135</v>
      </c>
      <c r="F356" s="56" t="s">
        <v>275</v>
      </c>
      <c r="G356" t="str">
        <f>_xlfn.XLOOKUP(Table4[[#This Row],[GZ]],'[1]BASE TRADE'!$R:$R,'[1]BASE TRADE'!$Q:$Q)</f>
        <v>1. Northwest</v>
      </c>
    </row>
    <row r="357" spans="1:7">
      <c r="A357" t="str">
        <f>B357&amp;Table4[[#This Row],[Tipo Servicio]]</f>
        <v>CHIHUAHUAREFACCIONES - ENFRIADOR</v>
      </c>
      <c r="B357" t="s">
        <v>70</v>
      </c>
      <c r="C357" t="s">
        <v>162</v>
      </c>
      <c r="D357" t="s">
        <v>132</v>
      </c>
      <c r="E357" t="s">
        <v>135</v>
      </c>
      <c r="F357" s="56" t="s">
        <v>41</v>
      </c>
      <c r="G357" t="str">
        <f>_xlfn.XLOOKUP(Table4[[#This Row],[GZ]],'[1]BASE TRADE'!$R:$R,'[1]BASE TRADE'!$Q:$Q)</f>
        <v>1. Northwest</v>
      </c>
    </row>
    <row r="358" spans="1:7">
      <c r="A358" t="str">
        <f>B358&amp;Table4[[#This Row],[Tipo Servicio]]</f>
        <v>CHIHUAHUAMTTO CORRECTIVO PISO - MAQUINA HIELO</v>
      </c>
      <c r="B358" t="s">
        <v>70</v>
      </c>
      <c r="C358" t="s">
        <v>161</v>
      </c>
      <c r="D358" t="s">
        <v>128</v>
      </c>
      <c r="F358" s="56" t="s">
        <v>286</v>
      </c>
      <c r="G358" t="str">
        <f>_xlfn.XLOOKUP(Table4[[#This Row],[GZ]],'[1]BASE TRADE'!$R:$R,'[1]BASE TRADE'!$Q:$Q)</f>
        <v>1. Northwest</v>
      </c>
    </row>
    <row r="359" spans="1:7">
      <c r="A359" t="str">
        <f>B359&amp;Table4[[#This Row],[Tipo Servicio]]</f>
        <v>CHIHUAHUAMTTO PREVENTIVO RUTA - MAQUINA HIELO</v>
      </c>
      <c r="B359" t="s">
        <v>70</v>
      </c>
      <c r="C359" t="s">
        <v>161</v>
      </c>
      <c r="D359" t="s">
        <v>128</v>
      </c>
      <c r="F359" s="56" t="s">
        <v>287</v>
      </c>
      <c r="G359" t="str">
        <f>_xlfn.XLOOKUP(Table4[[#This Row],[GZ]],'[1]BASE TRADE'!$R:$R,'[1]BASE TRADE'!$Q:$Q)</f>
        <v>1. Northwest</v>
      </c>
    </row>
    <row r="360" spans="1:7">
      <c r="A360" t="str">
        <f>B360&amp;Table4[[#This Row],[Tipo Servicio]]</f>
        <v>CHIHUAHUAREFACCIONES - MAQUINA HIELO</v>
      </c>
      <c r="B360" t="s">
        <v>70</v>
      </c>
      <c r="C360" t="s">
        <v>161</v>
      </c>
      <c r="D360" t="s">
        <v>128</v>
      </c>
      <c r="F360" s="56" t="s">
        <v>39</v>
      </c>
      <c r="G360" t="str">
        <f>_xlfn.XLOOKUP(Table4[[#This Row],[GZ]],'[1]BASE TRADE'!$R:$R,'[1]BASE TRADE'!$Q:$Q)</f>
        <v>1. Northwest</v>
      </c>
    </row>
    <row r="361" spans="1:7">
      <c r="A361" t="str">
        <f>B361&amp;Table4[[#This Row],[Tipo Servicio]]</f>
        <v>COAHUILAINSTALACION - MAQUINA HIELO</v>
      </c>
      <c r="B361" t="s">
        <v>72</v>
      </c>
      <c r="C361" t="s">
        <v>137</v>
      </c>
      <c r="D361" t="s">
        <v>45</v>
      </c>
      <c r="F361" s="56" t="s">
        <v>284</v>
      </c>
      <c r="G361" t="str">
        <f>_xlfn.XLOOKUP(Table4[[#This Row],[GZ]],'[1]BASE TRADE'!$R:$R,'[1]BASE TRADE'!$Q:$Q)</f>
        <v>2. Northeast</v>
      </c>
    </row>
    <row r="362" spans="1:7">
      <c r="A362" t="str">
        <f>B362&amp;Table4[[#This Row],[Tipo Servicio]]</f>
        <v>COAHUILAINSTALACION - BARRIL</v>
      </c>
      <c r="B362" t="s">
        <v>72</v>
      </c>
      <c r="C362" t="s">
        <v>137</v>
      </c>
      <c r="D362" t="s">
        <v>45</v>
      </c>
      <c r="F362" s="56" t="s">
        <v>279</v>
      </c>
      <c r="G362" t="str">
        <f>_xlfn.XLOOKUP(Table4[[#This Row],[GZ]],'[1]BASE TRADE'!$R:$R,'[1]BASE TRADE'!$Q:$Q)</f>
        <v>2. Northeast</v>
      </c>
    </row>
    <row r="363" spans="1:7">
      <c r="A363" t="str">
        <f>B363&amp;Table4[[#This Row],[Tipo Servicio]]</f>
        <v>COAHUILAINSTALACION - CUARTO FRIO</v>
      </c>
      <c r="B363" t="s">
        <v>72</v>
      </c>
      <c r="C363" t="s">
        <v>137</v>
      </c>
      <c r="D363" t="s">
        <v>45</v>
      </c>
      <c r="F363" s="56" t="s">
        <v>282</v>
      </c>
      <c r="G363" t="str">
        <f>_xlfn.XLOOKUP(Table4[[#This Row],[GZ]],'[1]BASE TRADE'!$R:$R,'[1]BASE TRADE'!$Q:$Q)</f>
        <v>2. Northeast</v>
      </c>
    </row>
    <row r="364" spans="1:7">
      <c r="A364" t="str">
        <f>B364&amp;Table4[[#This Row],[Tipo Servicio]]</f>
        <v>COAHUILARETIRO - ENFRIADOR</v>
      </c>
      <c r="B364" t="s">
        <v>72</v>
      </c>
      <c r="C364" t="s">
        <v>137</v>
      </c>
      <c r="D364" t="s">
        <v>45</v>
      </c>
      <c r="F364" s="56" t="s">
        <v>273</v>
      </c>
      <c r="G364" t="str">
        <f>_xlfn.XLOOKUP(Table4[[#This Row],[GZ]],'[1]BASE TRADE'!$R:$R,'[1]BASE TRADE'!$Q:$Q)</f>
        <v>2. Northeast</v>
      </c>
    </row>
    <row r="365" spans="1:7">
      <c r="A365" t="str">
        <f>B365&amp;Table4[[#This Row],[Tipo Servicio]]</f>
        <v>COAHUILARETIRO - MAQUINA HIELO</v>
      </c>
      <c r="B365" t="s">
        <v>72</v>
      </c>
      <c r="C365" t="s">
        <v>137</v>
      </c>
      <c r="D365" t="s">
        <v>45</v>
      </c>
      <c r="F365" s="56" t="s">
        <v>285</v>
      </c>
      <c r="G365" t="str">
        <f>_xlfn.XLOOKUP(Table4[[#This Row],[GZ]],'[1]BASE TRADE'!$R:$R,'[1]BASE TRADE'!$Q:$Q)</f>
        <v>2. Northeast</v>
      </c>
    </row>
    <row r="366" spans="1:7">
      <c r="A366" t="str">
        <f>B366&amp;Table4[[#This Row],[Tipo Servicio]]</f>
        <v>COAHUILARETIRO - BARRIL</v>
      </c>
      <c r="B366" t="s">
        <v>72</v>
      </c>
      <c r="C366" t="s">
        <v>137</v>
      </c>
      <c r="D366" t="s">
        <v>45</v>
      </c>
      <c r="F366" s="56" t="s">
        <v>280</v>
      </c>
      <c r="G366" t="str">
        <f>_xlfn.XLOOKUP(Table4[[#This Row],[GZ]],'[1]BASE TRADE'!$R:$R,'[1]BASE TRADE'!$Q:$Q)</f>
        <v>2. Northeast</v>
      </c>
    </row>
    <row r="367" spans="1:7">
      <c r="A367" t="str">
        <f>B367&amp;Table4[[#This Row],[Tipo Servicio]]</f>
        <v>COAHUILARETIRO - CUARTO FRIO</v>
      </c>
      <c r="B367" t="s">
        <v>72</v>
      </c>
      <c r="C367" t="s">
        <v>137</v>
      </c>
      <c r="D367" t="s">
        <v>45</v>
      </c>
      <c r="F367" s="56" t="s">
        <v>283</v>
      </c>
      <c r="G367" t="str">
        <f>_xlfn.XLOOKUP(Table4[[#This Row],[GZ]],'[1]BASE TRADE'!$R:$R,'[1]BASE TRADE'!$Q:$Q)</f>
        <v>2. Northeast</v>
      </c>
    </row>
    <row r="368" spans="1:7">
      <c r="A368" t="str">
        <f>B368&amp;Table4[[#This Row],[Tipo Servicio]]</f>
        <v>COAHUILAPRIMERA POSICION - ENFRIADOR</v>
      </c>
      <c r="B368" t="s">
        <v>72</v>
      </c>
      <c r="C368" t="s">
        <v>137</v>
      </c>
      <c r="D368" t="s">
        <v>45</v>
      </c>
      <c r="F368" s="56" t="s">
        <v>274</v>
      </c>
      <c r="G368" t="str">
        <f>_xlfn.XLOOKUP(Table4[[#This Row],[GZ]],'[1]BASE TRADE'!$R:$R,'[1]BASE TRADE'!$Q:$Q)</f>
        <v>2. Northeast</v>
      </c>
    </row>
    <row r="369" spans="1:7">
      <c r="A369" t="str">
        <f>B369&amp;Table4[[#This Row],[Tipo Servicio]]</f>
        <v>COAHUILAMTTO CORRECTIVO PISO - BARRIL</v>
      </c>
      <c r="B369" t="s">
        <v>72</v>
      </c>
      <c r="C369" t="s">
        <v>130</v>
      </c>
      <c r="D369" t="s">
        <v>47</v>
      </c>
      <c r="F369" s="56" t="s">
        <v>276</v>
      </c>
      <c r="G369" t="str">
        <f>_xlfn.XLOOKUP(Table4[[#This Row],[GZ]],'[1]BASE TRADE'!$R:$R,'[1]BASE TRADE'!$Q:$Q)</f>
        <v>2. Northeast</v>
      </c>
    </row>
    <row r="370" spans="1:7">
      <c r="A370" t="str">
        <f>B370&amp;Table4[[#This Row],[Tipo Servicio]]</f>
        <v>COAHUILAMTTO PREVENTIVO RUTA - BARRIL</v>
      </c>
      <c r="B370" t="s">
        <v>72</v>
      </c>
      <c r="C370" t="s">
        <v>130</v>
      </c>
      <c r="D370" t="s">
        <v>47</v>
      </c>
      <c r="F370" s="56" t="s">
        <v>277</v>
      </c>
      <c r="G370" t="str">
        <f>_xlfn.XLOOKUP(Table4[[#This Row],[GZ]],'[1]BASE TRADE'!$R:$R,'[1]BASE TRADE'!$Q:$Q)</f>
        <v>2. Northeast</v>
      </c>
    </row>
    <row r="371" spans="1:7">
      <c r="A371" t="str">
        <f>B371&amp;Table4[[#This Row],[Tipo Servicio]]</f>
        <v>COAHUILARECARGA CO2 - BARRIL</v>
      </c>
      <c r="B371" t="s">
        <v>72</v>
      </c>
      <c r="C371" t="s">
        <v>130</v>
      </c>
      <c r="D371" t="s">
        <v>47</v>
      </c>
      <c r="F371" s="56" t="s">
        <v>278</v>
      </c>
      <c r="G371" t="str">
        <f>_xlfn.XLOOKUP(Table4[[#This Row],[GZ]],'[1]BASE TRADE'!$R:$R,'[1]BASE TRADE'!$Q:$Q)</f>
        <v>2. Northeast</v>
      </c>
    </row>
    <row r="372" spans="1:7">
      <c r="A372" t="str">
        <f>B372&amp;Table4[[#This Row],[Tipo Servicio]]</f>
        <v>COAHUILAREFACCIONES - BARRIL</v>
      </c>
      <c r="B372" t="s">
        <v>72</v>
      </c>
      <c r="C372" t="s">
        <v>130</v>
      </c>
      <c r="D372" t="s">
        <v>47</v>
      </c>
      <c r="F372" s="56" t="s">
        <v>102</v>
      </c>
      <c r="G372" t="str">
        <f>_xlfn.XLOOKUP(Table4[[#This Row],[GZ]],'[1]BASE TRADE'!$R:$R,'[1]BASE TRADE'!$Q:$Q)</f>
        <v>2. Northeast</v>
      </c>
    </row>
    <row r="373" spans="1:7">
      <c r="A373" t="str">
        <f>B373&amp;Table4[[#This Row],[Tipo Servicio]]</f>
        <v>COAHUILASERVICIO EXPRESS PISO - ENFRIADOR</v>
      </c>
      <c r="B373" t="s">
        <v>72</v>
      </c>
      <c r="C373" t="s">
        <v>131</v>
      </c>
      <c r="D373" t="s">
        <v>132</v>
      </c>
      <c r="E373" t="s">
        <v>135</v>
      </c>
      <c r="F373" s="56" t="s">
        <v>275</v>
      </c>
      <c r="G373" t="str">
        <f>_xlfn.XLOOKUP(Table4[[#This Row],[GZ]],'[1]BASE TRADE'!$R:$R,'[1]BASE TRADE'!$Q:$Q)</f>
        <v>2. Northeast</v>
      </c>
    </row>
    <row r="374" spans="1:7">
      <c r="A374" t="str">
        <f>B374&amp;Table4[[#This Row],[Tipo Servicio]]</f>
        <v>COAHUILAREFACCIONES - ENFRIADOR</v>
      </c>
      <c r="B374" t="s">
        <v>72</v>
      </c>
      <c r="C374" t="s">
        <v>131</v>
      </c>
      <c r="D374" t="s">
        <v>132</v>
      </c>
      <c r="E374" t="s">
        <v>135</v>
      </c>
      <c r="F374" s="56" t="s">
        <v>41</v>
      </c>
      <c r="G374" t="str">
        <f>_xlfn.XLOOKUP(Table4[[#This Row],[GZ]],'[1]BASE TRADE'!$R:$R,'[1]BASE TRADE'!$Q:$Q)</f>
        <v>2. Northeast</v>
      </c>
    </row>
    <row r="375" spans="1:7">
      <c r="A375" t="str">
        <f>B375&amp;Table4[[#This Row],[Tipo Servicio]]</f>
        <v>COAHUILAMTTO CORRECTIVO PISO - MAQUINA HIELO</v>
      </c>
      <c r="B375" t="s">
        <v>72</v>
      </c>
      <c r="C375" t="s">
        <v>127</v>
      </c>
      <c r="D375" t="s">
        <v>128</v>
      </c>
      <c r="F375" s="56" t="s">
        <v>286</v>
      </c>
      <c r="G375" t="str">
        <f>_xlfn.XLOOKUP(Table4[[#This Row],[GZ]],'[1]BASE TRADE'!$R:$R,'[1]BASE TRADE'!$Q:$Q)</f>
        <v>2. Northeast</v>
      </c>
    </row>
    <row r="376" spans="1:7">
      <c r="A376" t="str">
        <f>B376&amp;Table4[[#This Row],[Tipo Servicio]]</f>
        <v>COAHUILAMTTO PREVENTIVO RUTA - MAQUINA HIELO</v>
      </c>
      <c r="B376" t="s">
        <v>72</v>
      </c>
      <c r="C376" t="s">
        <v>127</v>
      </c>
      <c r="D376" t="s">
        <v>128</v>
      </c>
      <c r="F376" s="56" t="s">
        <v>287</v>
      </c>
      <c r="G376" t="str">
        <f>_xlfn.XLOOKUP(Table4[[#This Row],[GZ]],'[1]BASE TRADE'!$R:$R,'[1]BASE TRADE'!$Q:$Q)</f>
        <v>2. Northeast</v>
      </c>
    </row>
    <row r="377" spans="1:7">
      <c r="A377" t="str">
        <f>B377&amp;Table4[[#This Row],[Tipo Servicio]]</f>
        <v>COAHUILAREFACCIONES - MAQUINA HIELO</v>
      </c>
      <c r="B377" t="s">
        <v>72</v>
      </c>
      <c r="C377" t="s">
        <v>127</v>
      </c>
      <c r="D377" t="s">
        <v>128</v>
      </c>
      <c r="F377" s="56" t="s">
        <v>39</v>
      </c>
      <c r="G377" t="str">
        <f>_xlfn.XLOOKUP(Table4[[#This Row],[GZ]],'[1]BASE TRADE'!$R:$R,'[1]BASE TRADE'!$Q:$Q)</f>
        <v>2. Northeast</v>
      </c>
    </row>
    <row r="378" spans="1:7">
      <c r="A378" t="str">
        <f>B378&amp;Table4[[#This Row],[Tipo Servicio]]</f>
        <v>DURANGOINSTALACION - MAQUINA HIELO</v>
      </c>
      <c r="B378" t="s">
        <v>73</v>
      </c>
      <c r="C378" t="s">
        <v>232</v>
      </c>
      <c r="D378" t="s">
        <v>45</v>
      </c>
      <c r="F378" s="56" t="s">
        <v>284</v>
      </c>
      <c r="G378" t="str">
        <f>_xlfn.XLOOKUP(Table4[[#This Row],[GZ]],'[1]BASE TRADE'!$R:$R,'[1]BASE TRADE'!$Q:$Q)</f>
        <v>2. Northeast</v>
      </c>
    </row>
    <row r="379" spans="1:7">
      <c r="A379" t="str">
        <f>B379&amp;Table4[[#This Row],[Tipo Servicio]]</f>
        <v>DURANGOINSTALACION - BARRIL</v>
      </c>
      <c r="B379" t="s">
        <v>73</v>
      </c>
      <c r="C379" t="s">
        <v>232</v>
      </c>
      <c r="D379" t="s">
        <v>45</v>
      </c>
      <c r="F379" s="56" t="s">
        <v>279</v>
      </c>
      <c r="G379" t="str">
        <f>_xlfn.XLOOKUP(Table4[[#This Row],[GZ]],'[1]BASE TRADE'!$R:$R,'[1]BASE TRADE'!$Q:$Q)</f>
        <v>2. Northeast</v>
      </c>
    </row>
    <row r="380" spans="1:7">
      <c r="A380" t="str">
        <f>B380&amp;Table4[[#This Row],[Tipo Servicio]]</f>
        <v>DURANGOINSTALACION - CUARTO FRIO</v>
      </c>
      <c r="B380" t="s">
        <v>73</v>
      </c>
      <c r="C380" t="s">
        <v>232</v>
      </c>
      <c r="D380" t="s">
        <v>45</v>
      </c>
      <c r="F380" s="57" t="s">
        <v>282</v>
      </c>
      <c r="G380" t="str">
        <f>_xlfn.XLOOKUP(Table4[[#This Row],[GZ]],'[1]BASE TRADE'!$R:$R,'[1]BASE TRADE'!$Q:$Q)</f>
        <v>2. Northeast</v>
      </c>
    </row>
    <row r="381" spans="1:7">
      <c r="A381" t="str">
        <f>B381&amp;Table4[[#This Row],[Tipo Servicio]]</f>
        <v>DURANGORETIRO - ENFRIADOR</v>
      </c>
      <c r="B381" t="s">
        <v>73</v>
      </c>
      <c r="C381" t="s">
        <v>232</v>
      </c>
      <c r="D381" t="s">
        <v>45</v>
      </c>
      <c r="F381" s="56" t="s">
        <v>273</v>
      </c>
      <c r="G381" t="str">
        <f>_xlfn.XLOOKUP(Table4[[#This Row],[GZ]],'[1]BASE TRADE'!$R:$R,'[1]BASE TRADE'!$Q:$Q)</f>
        <v>2. Northeast</v>
      </c>
    </row>
    <row r="382" spans="1:7">
      <c r="A382" t="str">
        <f>B382&amp;Table4[[#This Row],[Tipo Servicio]]</f>
        <v>DURANGORETIRO - MAQUINA HIELO</v>
      </c>
      <c r="B382" t="s">
        <v>73</v>
      </c>
      <c r="C382" t="s">
        <v>232</v>
      </c>
      <c r="D382" t="s">
        <v>45</v>
      </c>
      <c r="F382" s="56" t="s">
        <v>285</v>
      </c>
      <c r="G382" t="str">
        <f>_xlfn.XLOOKUP(Table4[[#This Row],[GZ]],'[1]BASE TRADE'!$R:$R,'[1]BASE TRADE'!$Q:$Q)</f>
        <v>2. Northeast</v>
      </c>
    </row>
    <row r="383" spans="1:7">
      <c r="A383" t="str">
        <f>B383&amp;Table4[[#This Row],[Tipo Servicio]]</f>
        <v>DURANGORETIRO - BARRIL</v>
      </c>
      <c r="B383" t="s">
        <v>73</v>
      </c>
      <c r="C383" t="s">
        <v>232</v>
      </c>
      <c r="D383" t="s">
        <v>45</v>
      </c>
      <c r="F383" s="56" t="s">
        <v>280</v>
      </c>
      <c r="G383" t="str">
        <f>_xlfn.XLOOKUP(Table4[[#This Row],[GZ]],'[1]BASE TRADE'!$R:$R,'[1]BASE TRADE'!$Q:$Q)</f>
        <v>2. Northeast</v>
      </c>
    </row>
    <row r="384" spans="1:7">
      <c r="A384" t="str">
        <f>B384&amp;Table4[[#This Row],[Tipo Servicio]]</f>
        <v>DURANGORETIRO - CUARTO FRIO</v>
      </c>
      <c r="B384" t="s">
        <v>73</v>
      </c>
      <c r="C384" t="s">
        <v>232</v>
      </c>
      <c r="D384" t="s">
        <v>45</v>
      </c>
      <c r="F384" s="56" t="s">
        <v>283</v>
      </c>
      <c r="G384" t="str">
        <f>_xlfn.XLOOKUP(Table4[[#This Row],[GZ]],'[1]BASE TRADE'!$R:$R,'[1]BASE TRADE'!$Q:$Q)</f>
        <v>2. Northeast</v>
      </c>
    </row>
    <row r="385" spans="1:7">
      <c r="A385" t="str">
        <f>B385&amp;Table4[[#This Row],[Tipo Servicio]]</f>
        <v>DURANGOPRIMERA POSICION - ENFRIADOR</v>
      </c>
      <c r="B385" t="s">
        <v>73</v>
      </c>
      <c r="C385" t="s">
        <v>232</v>
      </c>
      <c r="D385" t="s">
        <v>45</v>
      </c>
      <c r="F385" s="56" t="s">
        <v>274</v>
      </c>
      <c r="G385" t="str">
        <f>_xlfn.XLOOKUP(Table4[[#This Row],[GZ]],'[1]BASE TRADE'!$R:$R,'[1]BASE TRADE'!$Q:$Q)</f>
        <v>2. Northeast</v>
      </c>
    </row>
    <row r="386" spans="1:7">
      <c r="A386" t="str">
        <f>B386&amp;Table4[[#This Row],[Tipo Servicio]]</f>
        <v>DURANGOMTTO CORRECTIVO PISO - BARRIL</v>
      </c>
      <c r="B386" t="s">
        <v>73</v>
      </c>
      <c r="C386" t="s">
        <v>234</v>
      </c>
      <c r="D386" t="s">
        <v>47</v>
      </c>
      <c r="F386" s="56" t="s">
        <v>276</v>
      </c>
      <c r="G386" t="str">
        <f>_xlfn.XLOOKUP(Table4[[#This Row],[GZ]],'[1]BASE TRADE'!$R:$R,'[1]BASE TRADE'!$Q:$Q)</f>
        <v>2. Northeast</v>
      </c>
    </row>
    <row r="387" spans="1:7">
      <c r="A387" t="str">
        <f>B387&amp;Table4[[#This Row],[Tipo Servicio]]</f>
        <v>DURANGOMTTO PREVENTIVO RUTA - BARRIL</v>
      </c>
      <c r="B387" t="s">
        <v>73</v>
      </c>
      <c r="C387" t="s">
        <v>234</v>
      </c>
      <c r="D387" t="s">
        <v>47</v>
      </c>
      <c r="F387" s="56" t="s">
        <v>277</v>
      </c>
      <c r="G387" t="str">
        <f>_xlfn.XLOOKUP(Table4[[#This Row],[GZ]],'[1]BASE TRADE'!$R:$R,'[1]BASE TRADE'!$Q:$Q)</f>
        <v>2. Northeast</v>
      </c>
    </row>
    <row r="388" spans="1:7">
      <c r="A388" t="str">
        <f>B388&amp;Table4[[#This Row],[Tipo Servicio]]</f>
        <v>DURANGORECARGA CO2 - BARRIL</v>
      </c>
      <c r="B388" t="s">
        <v>73</v>
      </c>
      <c r="C388" t="s">
        <v>234</v>
      </c>
      <c r="D388" t="s">
        <v>47</v>
      </c>
      <c r="F388" s="56" t="s">
        <v>278</v>
      </c>
      <c r="G388" t="str">
        <f>_xlfn.XLOOKUP(Table4[[#This Row],[GZ]],'[1]BASE TRADE'!$R:$R,'[1]BASE TRADE'!$Q:$Q)</f>
        <v>2. Northeast</v>
      </c>
    </row>
    <row r="389" spans="1:7">
      <c r="A389" t="str">
        <f>B389&amp;Table4[[#This Row],[Tipo Servicio]]</f>
        <v>DURANGOREFACCIONES - BARRIL</v>
      </c>
      <c r="B389" t="s">
        <v>73</v>
      </c>
      <c r="C389" t="s">
        <v>234</v>
      </c>
      <c r="D389" t="s">
        <v>47</v>
      </c>
      <c r="F389" s="56" t="s">
        <v>102</v>
      </c>
      <c r="G389" t="str">
        <f>_xlfn.XLOOKUP(Table4[[#This Row],[GZ]],'[1]BASE TRADE'!$R:$R,'[1]BASE TRADE'!$Q:$Q)</f>
        <v>2. Northeast</v>
      </c>
    </row>
    <row r="390" spans="1:7">
      <c r="A390" t="str">
        <f>B390&amp;Table4[[#This Row],[Tipo Servicio]]</f>
        <v>DURANGOSERVICIO EXPRESS PISO - ENFRIADOR</v>
      </c>
      <c r="B390" t="s">
        <v>73</v>
      </c>
      <c r="C390" t="s">
        <v>236</v>
      </c>
      <c r="D390" t="s">
        <v>132</v>
      </c>
      <c r="F390" s="56" t="s">
        <v>275</v>
      </c>
      <c r="G390" t="str">
        <f>_xlfn.XLOOKUP(Table4[[#This Row],[GZ]],'[1]BASE TRADE'!$R:$R,'[1]BASE TRADE'!$Q:$Q)</f>
        <v>2. Northeast</v>
      </c>
    </row>
    <row r="391" spans="1:7">
      <c r="A391" t="str">
        <f>B391&amp;Table4[[#This Row],[Tipo Servicio]]</f>
        <v>DURANGOREFACCIONES - ENFRIADOR</v>
      </c>
      <c r="B391" t="s">
        <v>73</v>
      </c>
      <c r="C391" t="s">
        <v>236</v>
      </c>
      <c r="D391" t="s">
        <v>132</v>
      </c>
      <c r="F391" s="56" t="s">
        <v>41</v>
      </c>
      <c r="G391" t="str">
        <f>_xlfn.XLOOKUP(Table4[[#This Row],[GZ]],'[1]BASE TRADE'!$R:$R,'[1]BASE TRADE'!$Q:$Q)</f>
        <v>2. Northeast</v>
      </c>
    </row>
    <row r="392" spans="1:7">
      <c r="A392" t="str">
        <f>B392&amp;Table4[[#This Row],[Tipo Servicio]]</f>
        <v>DURANGOMTTO CORRECTIVO PISO - MAQUINA HIELO</v>
      </c>
      <c r="B392" t="s">
        <v>73</v>
      </c>
      <c r="C392" t="s">
        <v>235</v>
      </c>
      <c r="D392" t="s">
        <v>128</v>
      </c>
      <c r="F392" s="56" t="s">
        <v>286</v>
      </c>
      <c r="G392" t="str">
        <f>_xlfn.XLOOKUP(Table4[[#This Row],[GZ]],'[1]BASE TRADE'!$R:$R,'[1]BASE TRADE'!$Q:$Q)</f>
        <v>2. Northeast</v>
      </c>
    </row>
    <row r="393" spans="1:7">
      <c r="A393" t="str">
        <f>B393&amp;Table4[[#This Row],[Tipo Servicio]]</f>
        <v>DURANGOMTTO PREVENTIVO RUTA - MAQUINA HIELO</v>
      </c>
      <c r="B393" t="s">
        <v>73</v>
      </c>
      <c r="C393" t="s">
        <v>235</v>
      </c>
      <c r="D393" t="s">
        <v>128</v>
      </c>
      <c r="F393" s="56" t="s">
        <v>287</v>
      </c>
      <c r="G393" t="str">
        <f>_xlfn.XLOOKUP(Table4[[#This Row],[GZ]],'[1]BASE TRADE'!$R:$R,'[1]BASE TRADE'!$Q:$Q)</f>
        <v>2. Northeast</v>
      </c>
    </row>
    <row r="394" spans="1:7">
      <c r="A394" t="str">
        <f>B394&amp;Table4[[#This Row],[Tipo Servicio]]</f>
        <v>DURANGOREFACCIONES - MAQUINA HIELO</v>
      </c>
      <c r="B394" t="s">
        <v>73</v>
      </c>
      <c r="C394" t="s">
        <v>235</v>
      </c>
      <c r="D394" t="s">
        <v>128</v>
      </c>
      <c r="F394" s="56" t="s">
        <v>39</v>
      </c>
      <c r="G394" t="str">
        <f>_xlfn.XLOOKUP(Table4[[#This Row],[GZ]],'[1]BASE TRADE'!$R:$R,'[1]BASE TRADE'!$Q:$Q)</f>
        <v>2. Northeast</v>
      </c>
    </row>
    <row r="395" spans="1:7">
      <c r="A395" t="str">
        <f>B395&amp;Table4[[#This Row],[Tipo Servicio]]</f>
        <v>EDO DE MEXICOINSTALACION - MAQUINA HIELO</v>
      </c>
      <c r="B395" t="s">
        <v>74</v>
      </c>
      <c r="C395" t="s">
        <v>200</v>
      </c>
      <c r="D395" t="s">
        <v>45</v>
      </c>
      <c r="F395" s="56" t="s">
        <v>284</v>
      </c>
      <c r="G395" t="s">
        <v>201</v>
      </c>
    </row>
    <row r="396" spans="1:7">
      <c r="A396" t="str">
        <f>B396&amp;Table4[[#This Row],[Tipo Servicio]]</f>
        <v>EDO DE MEXICOINSTALACION - BARRIL</v>
      </c>
      <c r="B396" t="s">
        <v>74</v>
      </c>
      <c r="C396" t="s">
        <v>200</v>
      </c>
      <c r="D396" t="s">
        <v>45</v>
      </c>
      <c r="F396" s="56" t="s">
        <v>279</v>
      </c>
      <c r="G396" t="s">
        <v>201</v>
      </c>
    </row>
    <row r="397" spans="1:7">
      <c r="A397" t="str">
        <f>B397&amp;Table4[[#This Row],[Tipo Servicio]]</f>
        <v>EDO DE MEXICOINSTALACION - CUARTO FRIO</v>
      </c>
      <c r="B397" t="s">
        <v>74</v>
      </c>
      <c r="C397" t="s">
        <v>200</v>
      </c>
      <c r="D397" t="s">
        <v>45</v>
      </c>
      <c r="F397" s="57" t="s">
        <v>282</v>
      </c>
      <c r="G397" t="s">
        <v>201</v>
      </c>
    </row>
    <row r="398" spans="1:7">
      <c r="A398" t="str">
        <f>B398&amp;Table4[[#This Row],[Tipo Servicio]]</f>
        <v>EDO DE MEXICORETIRO - ENFRIADOR</v>
      </c>
      <c r="B398" t="s">
        <v>74</v>
      </c>
      <c r="C398" t="s">
        <v>200</v>
      </c>
      <c r="D398" t="s">
        <v>45</v>
      </c>
      <c r="F398" s="56" t="s">
        <v>273</v>
      </c>
      <c r="G398" t="s">
        <v>201</v>
      </c>
    </row>
    <row r="399" spans="1:7">
      <c r="A399" t="str">
        <f>B399&amp;Table4[[#This Row],[Tipo Servicio]]</f>
        <v>EDO DE MEXICORETIRO - MAQUINA HIELO</v>
      </c>
      <c r="B399" t="s">
        <v>74</v>
      </c>
      <c r="C399" t="s">
        <v>200</v>
      </c>
      <c r="D399" t="s">
        <v>45</v>
      </c>
      <c r="F399" s="56" t="s">
        <v>285</v>
      </c>
      <c r="G399" t="s">
        <v>201</v>
      </c>
    </row>
    <row r="400" spans="1:7">
      <c r="A400" t="str">
        <f>B400&amp;Table4[[#This Row],[Tipo Servicio]]</f>
        <v>EDO DE MEXICORETIRO - BARRIL</v>
      </c>
      <c r="B400" t="s">
        <v>74</v>
      </c>
      <c r="C400" t="s">
        <v>200</v>
      </c>
      <c r="D400" t="s">
        <v>45</v>
      </c>
      <c r="F400" s="56" t="s">
        <v>280</v>
      </c>
      <c r="G400" t="s">
        <v>201</v>
      </c>
    </row>
    <row r="401" spans="1:7">
      <c r="A401" t="str">
        <f>B401&amp;Table4[[#This Row],[Tipo Servicio]]</f>
        <v>EDO DE MEXICORETIRO - CUARTO FRIO</v>
      </c>
      <c r="B401" t="s">
        <v>74</v>
      </c>
      <c r="C401" t="s">
        <v>200</v>
      </c>
      <c r="D401" t="s">
        <v>45</v>
      </c>
      <c r="F401" s="56" t="s">
        <v>283</v>
      </c>
      <c r="G401" t="s">
        <v>201</v>
      </c>
    </row>
    <row r="402" spans="1:7">
      <c r="A402" t="str">
        <f>B402&amp;Table4[[#This Row],[Tipo Servicio]]</f>
        <v>EDO DE MEXICOPRIMERA POSICION - ENFRIADOR</v>
      </c>
      <c r="B402" t="s">
        <v>74</v>
      </c>
      <c r="C402" t="s">
        <v>200</v>
      </c>
      <c r="D402" t="s">
        <v>45</v>
      </c>
      <c r="F402" s="56" t="s">
        <v>274</v>
      </c>
      <c r="G402" t="s">
        <v>201</v>
      </c>
    </row>
    <row r="403" spans="1:7">
      <c r="A403" t="str">
        <f>B403&amp;Table4[[#This Row],[Tipo Servicio]]</f>
        <v>EDO DE MEXICOMTTO CORRECTIVO PISO - BARRIL</v>
      </c>
      <c r="B403" t="s">
        <v>74</v>
      </c>
      <c r="C403" t="s">
        <v>203</v>
      </c>
      <c r="D403" t="s">
        <v>47</v>
      </c>
      <c r="F403" s="56" t="s">
        <v>276</v>
      </c>
      <c r="G403" t="s">
        <v>201</v>
      </c>
    </row>
    <row r="404" spans="1:7">
      <c r="A404" t="str">
        <f>B404&amp;Table4[[#This Row],[Tipo Servicio]]</f>
        <v>EDO DE MEXICOMTTO PREVENTIVO RUTA - BARRIL</v>
      </c>
      <c r="B404" t="s">
        <v>74</v>
      </c>
      <c r="C404" t="s">
        <v>203</v>
      </c>
      <c r="D404" t="s">
        <v>47</v>
      </c>
      <c r="F404" s="56" t="s">
        <v>277</v>
      </c>
      <c r="G404" t="s">
        <v>201</v>
      </c>
    </row>
    <row r="405" spans="1:7">
      <c r="A405" t="str">
        <f>B405&amp;Table4[[#This Row],[Tipo Servicio]]</f>
        <v>EDO DE MEXICORECARGA CO2 - BARRIL</v>
      </c>
      <c r="B405" t="s">
        <v>74</v>
      </c>
      <c r="C405" t="s">
        <v>203</v>
      </c>
      <c r="D405" t="s">
        <v>47</v>
      </c>
      <c r="F405" s="56" t="s">
        <v>278</v>
      </c>
      <c r="G405" t="s">
        <v>201</v>
      </c>
    </row>
    <row r="406" spans="1:7">
      <c r="A406" t="str">
        <f>B406&amp;Table4[[#This Row],[Tipo Servicio]]</f>
        <v>EDO DE MEXICOREFACCIONES - BARRIL</v>
      </c>
      <c r="B406" t="s">
        <v>74</v>
      </c>
      <c r="C406" t="s">
        <v>203</v>
      </c>
      <c r="D406" t="s">
        <v>47</v>
      </c>
      <c r="F406" s="56" t="s">
        <v>102</v>
      </c>
      <c r="G406" t="s">
        <v>201</v>
      </c>
    </row>
    <row r="407" spans="1:7">
      <c r="A407" t="str">
        <f>B407&amp;Table4[[#This Row],[Tipo Servicio]]</f>
        <v>EDO DE MEXICOSERVICIO EXPRESS PISO - ENFRIADOR</v>
      </c>
      <c r="B407" t="s">
        <v>74</v>
      </c>
      <c r="C407" t="s">
        <v>204</v>
      </c>
      <c r="D407" t="s">
        <v>132</v>
      </c>
      <c r="F407" s="56" t="s">
        <v>275</v>
      </c>
      <c r="G407" t="s">
        <v>201</v>
      </c>
    </row>
    <row r="408" spans="1:7">
      <c r="A408" t="str">
        <f>B408&amp;Table4[[#This Row],[Tipo Servicio]]</f>
        <v>EDO DE MEXICOREFACCIONES - ENFRIADOR</v>
      </c>
      <c r="B408" t="s">
        <v>74</v>
      </c>
      <c r="C408" t="s">
        <v>204</v>
      </c>
      <c r="D408" t="s">
        <v>132</v>
      </c>
      <c r="F408" s="56" t="s">
        <v>41</v>
      </c>
      <c r="G408" t="s">
        <v>201</v>
      </c>
    </row>
    <row r="409" spans="1:7">
      <c r="A409" t="str">
        <f>B409&amp;Table4[[#This Row],[Tipo Servicio]]</f>
        <v>FRANQUICIA CHIAPASSERVICIO EXPRESS PISO - ENFRIADOR</v>
      </c>
      <c r="B409" t="s">
        <v>75</v>
      </c>
      <c r="C409" t="s">
        <v>209</v>
      </c>
      <c r="D409" t="s">
        <v>132</v>
      </c>
      <c r="F409" s="56" t="s">
        <v>275</v>
      </c>
      <c r="G409" t="s">
        <v>176</v>
      </c>
    </row>
    <row r="410" spans="1:7">
      <c r="A410" t="str">
        <f>B410&amp;Table4[[#This Row],[Tipo Servicio]]</f>
        <v>FRANQUICIA CHIAPASREFACCIONES - ENFRIADOR</v>
      </c>
      <c r="B410" t="s">
        <v>75</v>
      </c>
      <c r="C410" t="s">
        <v>209</v>
      </c>
      <c r="D410" t="s">
        <v>132</v>
      </c>
      <c r="F410" s="56" t="s">
        <v>41</v>
      </c>
      <c r="G410" t="s">
        <v>176</v>
      </c>
    </row>
    <row r="411" spans="1:7">
      <c r="A411" t="str">
        <f>B411&amp;Table4[[#This Row],[Tipo Servicio]]</f>
        <v>GRO-MORINSTALACION - MAQUINA HIELO</v>
      </c>
      <c r="B411" t="s">
        <v>77</v>
      </c>
      <c r="C411" t="s">
        <v>205</v>
      </c>
      <c r="D411" t="s">
        <v>45</v>
      </c>
      <c r="F411" s="56" t="s">
        <v>284</v>
      </c>
      <c r="G411" t="s">
        <v>201</v>
      </c>
    </row>
    <row r="412" spans="1:7">
      <c r="A412" t="str">
        <f>B412&amp;Table4[[#This Row],[Tipo Servicio]]</f>
        <v>GRO-MORINSTALACION - BARRIL</v>
      </c>
      <c r="B412" t="s">
        <v>77</v>
      </c>
      <c r="C412" t="s">
        <v>205</v>
      </c>
      <c r="D412" t="s">
        <v>45</v>
      </c>
      <c r="F412" s="56" t="s">
        <v>279</v>
      </c>
      <c r="G412" t="s">
        <v>201</v>
      </c>
    </row>
    <row r="413" spans="1:7">
      <c r="A413" t="str">
        <f>B413&amp;Table4[[#This Row],[Tipo Servicio]]</f>
        <v>GRO-MORINSTALACION - CUARTO FRIO</v>
      </c>
      <c r="B413" t="s">
        <v>77</v>
      </c>
      <c r="C413" t="s">
        <v>205</v>
      </c>
      <c r="D413" t="s">
        <v>45</v>
      </c>
      <c r="F413" s="56" t="s">
        <v>282</v>
      </c>
      <c r="G413" t="s">
        <v>201</v>
      </c>
    </row>
    <row r="414" spans="1:7">
      <c r="A414" t="str">
        <f>B414&amp;Table4[[#This Row],[Tipo Servicio]]</f>
        <v>GRO-MORRETIRO - ENFRIADOR</v>
      </c>
      <c r="B414" t="s">
        <v>77</v>
      </c>
      <c r="C414" t="s">
        <v>205</v>
      </c>
      <c r="D414" t="s">
        <v>45</v>
      </c>
      <c r="F414" s="56" t="s">
        <v>273</v>
      </c>
      <c r="G414" t="s">
        <v>201</v>
      </c>
    </row>
    <row r="415" spans="1:7">
      <c r="A415" t="str">
        <f>B415&amp;Table4[[#This Row],[Tipo Servicio]]</f>
        <v>GRO-MORRETIRO - MAQUINA HIELO</v>
      </c>
      <c r="B415" t="s">
        <v>77</v>
      </c>
      <c r="C415" t="s">
        <v>205</v>
      </c>
      <c r="D415" t="s">
        <v>45</v>
      </c>
      <c r="F415" s="56" t="s">
        <v>285</v>
      </c>
      <c r="G415" t="s">
        <v>201</v>
      </c>
    </row>
    <row r="416" spans="1:7">
      <c r="A416" t="str">
        <f>B416&amp;Table4[[#This Row],[Tipo Servicio]]</f>
        <v>GRO-MORRETIRO - BARRIL</v>
      </c>
      <c r="B416" t="s">
        <v>77</v>
      </c>
      <c r="C416" t="s">
        <v>205</v>
      </c>
      <c r="D416" t="s">
        <v>45</v>
      </c>
      <c r="F416" s="56" t="s">
        <v>280</v>
      </c>
      <c r="G416" t="s">
        <v>201</v>
      </c>
    </row>
    <row r="417" spans="1:7">
      <c r="A417" t="str">
        <f>B417&amp;Table4[[#This Row],[Tipo Servicio]]</f>
        <v>GRO-MORRETIRO - CUARTO FRIO</v>
      </c>
      <c r="B417" t="s">
        <v>77</v>
      </c>
      <c r="C417" t="s">
        <v>205</v>
      </c>
      <c r="D417" t="s">
        <v>45</v>
      </c>
      <c r="F417" s="56" t="s">
        <v>283</v>
      </c>
      <c r="G417" t="s">
        <v>201</v>
      </c>
    </row>
    <row r="418" spans="1:7">
      <c r="A418" t="str">
        <f>B418&amp;Table4[[#This Row],[Tipo Servicio]]</f>
        <v>GRO-MORPRIMERA POSICION - ENFRIADOR</v>
      </c>
      <c r="B418" t="s">
        <v>77</v>
      </c>
      <c r="C418" t="s">
        <v>205</v>
      </c>
      <c r="D418" t="s">
        <v>45</v>
      </c>
      <c r="F418" s="56" t="s">
        <v>274</v>
      </c>
      <c r="G418" t="s">
        <v>201</v>
      </c>
    </row>
    <row r="419" spans="1:7">
      <c r="A419" t="str">
        <f>B419&amp;Table4[[#This Row],[Tipo Servicio]]</f>
        <v>GRO-MORMTTO CORRECTIVO PISO - BARRIL</v>
      </c>
      <c r="B419" t="s">
        <v>77</v>
      </c>
      <c r="C419" t="s">
        <v>207</v>
      </c>
      <c r="D419" t="s">
        <v>47</v>
      </c>
      <c r="F419" s="56" t="s">
        <v>276</v>
      </c>
      <c r="G419" t="s">
        <v>201</v>
      </c>
    </row>
    <row r="420" spans="1:7">
      <c r="A420" t="str">
        <f>B420&amp;Table4[[#This Row],[Tipo Servicio]]</f>
        <v>GRO-MORMTTO PREVENTIVO RUTA - BARRIL</v>
      </c>
      <c r="B420" t="s">
        <v>77</v>
      </c>
      <c r="C420" t="s">
        <v>207</v>
      </c>
      <c r="D420" t="s">
        <v>47</v>
      </c>
      <c r="F420" s="56" t="s">
        <v>277</v>
      </c>
      <c r="G420" t="s">
        <v>201</v>
      </c>
    </row>
    <row r="421" spans="1:7">
      <c r="A421" t="str">
        <f>B421&amp;Table4[[#This Row],[Tipo Servicio]]</f>
        <v>GRO-MORRECARGA CO2 - BARRIL</v>
      </c>
      <c r="B421" t="s">
        <v>77</v>
      </c>
      <c r="C421" t="s">
        <v>207</v>
      </c>
      <c r="D421" t="s">
        <v>47</v>
      </c>
      <c r="F421" s="56" t="s">
        <v>278</v>
      </c>
      <c r="G421" t="s">
        <v>201</v>
      </c>
    </row>
    <row r="422" spans="1:7">
      <c r="A422" t="str">
        <f>B422&amp;Table4[[#This Row],[Tipo Servicio]]</f>
        <v>GRO-MORREFACCIONES - BARRIL</v>
      </c>
      <c r="B422" t="s">
        <v>77</v>
      </c>
      <c r="C422" t="s">
        <v>207</v>
      </c>
      <c r="D422" t="s">
        <v>47</v>
      </c>
      <c r="F422" s="56" t="s">
        <v>102</v>
      </c>
      <c r="G422" t="s">
        <v>201</v>
      </c>
    </row>
    <row r="423" spans="1:7">
      <c r="A423" t="str">
        <f>B423&amp;Table4[[#This Row],[Tipo Servicio]]</f>
        <v>GRO-MORSERVICIO EXPRESS PISO - ENFRIADOR</v>
      </c>
      <c r="B423" t="s">
        <v>77</v>
      </c>
      <c r="C423" t="s">
        <v>208</v>
      </c>
      <c r="D423" t="s">
        <v>132</v>
      </c>
      <c r="F423" s="56" t="s">
        <v>275</v>
      </c>
      <c r="G423" t="s">
        <v>201</v>
      </c>
    </row>
    <row r="424" spans="1:7">
      <c r="A424" t="str">
        <f>B424&amp;Table4[[#This Row],[Tipo Servicio]]</f>
        <v>GRO-MORREFACCIONES - ENFRIADOR</v>
      </c>
      <c r="B424" t="s">
        <v>77</v>
      </c>
      <c r="C424" t="s">
        <v>208</v>
      </c>
      <c r="D424" t="s">
        <v>132</v>
      </c>
      <c r="F424" s="56" t="s">
        <v>41</v>
      </c>
      <c r="G424" t="s">
        <v>201</v>
      </c>
    </row>
    <row r="425" spans="1:7">
      <c r="A425" t="str">
        <f>B425&amp;Table4[[#This Row],[Tipo Servicio]]</f>
        <v>HIDALGOINSTALACION - MAQUINA HIELO</v>
      </c>
      <c r="B425" t="s">
        <v>79</v>
      </c>
      <c r="C425" t="s">
        <v>192</v>
      </c>
      <c r="D425" t="s">
        <v>45</v>
      </c>
      <c r="F425" s="56" t="s">
        <v>284</v>
      </c>
      <c r="G425" t="str">
        <f>_xlfn.XLOOKUP(Table4[[#This Row],[GZ]],'[1]BASE TRADE'!$R:$R,'[1]BASE TRADE'!$Q:$Q)</f>
        <v>4. Center</v>
      </c>
    </row>
    <row r="426" spans="1:7">
      <c r="A426" t="str">
        <f>B426&amp;Table4[[#This Row],[Tipo Servicio]]</f>
        <v>HIDALGOINSTALACION - BARRIL</v>
      </c>
      <c r="B426" t="s">
        <v>79</v>
      </c>
      <c r="C426" t="s">
        <v>192</v>
      </c>
      <c r="D426" t="s">
        <v>45</v>
      </c>
      <c r="F426" s="56" t="s">
        <v>279</v>
      </c>
      <c r="G426" t="str">
        <f>_xlfn.XLOOKUP(Table4[[#This Row],[GZ]],'[1]BASE TRADE'!$R:$R,'[1]BASE TRADE'!$Q:$Q)</f>
        <v>4. Center</v>
      </c>
    </row>
    <row r="427" spans="1:7">
      <c r="A427" t="str">
        <f>B427&amp;Table4[[#This Row],[Tipo Servicio]]</f>
        <v>HIDALGOINSTALACION - CUARTO FRIO</v>
      </c>
      <c r="B427" t="s">
        <v>79</v>
      </c>
      <c r="C427" t="s">
        <v>192</v>
      </c>
      <c r="D427" t="s">
        <v>45</v>
      </c>
      <c r="F427" s="56" t="s">
        <v>282</v>
      </c>
      <c r="G427" t="str">
        <f>_xlfn.XLOOKUP(Table4[[#This Row],[GZ]],'[1]BASE TRADE'!$R:$R,'[1]BASE TRADE'!$Q:$Q)</f>
        <v>4. Center</v>
      </c>
    </row>
    <row r="428" spans="1:7">
      <c r="A428" t="str">
        <f>B428&amp;Table4[[#This Row],[Tipo Servicio]]</f>
        <v>HIDALGORETIRO - ENFRIADOR</v>
      </c>
      <c r="B428" t="s">
        <v>79</v>
      </c>
      <c r="C428" t="s">
        <v>192</v>
      </c>
      <c r="D428" t="s">
        <v>45</v>
      </c>
      <c r="F428" s="56" t="s">
        <v>273</v>
      </c>
      <c r="G428" t="str">
        <f>_xlfn.XLOOKUP(Table4[[#This Row],[GZ]],'[1]BASE TRADE'!$R:$R,'[1]BASE TRADE'!$Q:$Q)</f>
        <v>4. Center</v>
      </c>
    </row>
    <row r="429" spans="1:7">
      <c r="A429" t="str">
        <f>B429&amp;Table4[[#This Row],[Tipo Servicio]]</f>
        <v>HIDALGORETIRO - MAQUINA HIELO</v>
      </c>
      <c r="B429" t="s">
        <v>79</v>
      </c>
      <c r="C429" t="s">
        <v>192</v>
      </c>
      <c r="D429" t="s">
        <v>45</v>
      </c>
      <c r="F429" s="56" t="s">
        <v>285</v>
      </c>
      <c r="G429" t="str">
        <f>_xlfn.XLOOKUP(Table4[[#This Row],[GZ]],'[1]BASE TRADE'!$R:$R,'[1]BASE TRADE'!$Q:$Q)</f>
        <v>4. Center</v>
      </c>
    </row>
    <row r="430" spans="1:7">
      <c r="A430" t="str">
        <f>B430&amp;Table4[[#This Row],[Tipo Servicio]]</f>
        <v>HIDALGORETIRO - BARRIL</v>
      </c>
      <c r="B430" t="s">
        <v>79</v>
      </c>
      <c r="C430" t="s">
        <v>192</v>
      </c>
      <c r="D430" t="s">
        <v>45</v>
      </c>
      <c r="F430" s="56" t="s">
        <v>280</v>
      </c>
      <c r="G430" t="str">
        <f>_xlfn.XLOOKUP(Table4[[#This Row],[GZ]],'[1]BASE TRADE'!$R:$R,'[1]BASE TRADE'!$Q:$Q)</f>
        <v>4. Center</v>
      </c>
    </row>
    <row r="431" spans="1:7">
      <c r="A431" t="str">
        <f>B431&amp;Table4[[#This Row],[Tipo Servicio]]</f>
        <v>HIDALGORETIRO - CUARTO FRIO</v>
      </c>
      <c r="B431" t="s">
        <v>79</v>
      </c>
      <c r="C431" t="s">
        <v>192</v>
      </c>
      <c r="D431" t="s">
        <v>45</v>
      </c>
      <c r="F431" s="56" t="s">
        <v>283</v>
      </c>
      <c r="G431" t="str">
        <f>_xlfn.XLOOKUP(Table4[[#This Row],[GZ]],'[1]BASE TRADE'!$R:$R,'[1]BASE TRADE'!$Q:$Q)</f>
        <v>4. Center</v>
      </c>
    </row>
    <row r="432" spans="1:7">
      <c r="A432" t="str">
        <f>B432&amp;Table4[[#This Row],[Tipo Servicio]]</f>
        <v>HIDALGOPRIMERA POSICION - ENFRIADOR</v>
      </c>
      <c r="B432" t="s">
        <v>79</v>
      </c>
      <c r="C432" t="s">
        <v>192</v>
      </c>
      <c r="D432" t="s">
        <v>45</v>
      </c>
      <c r="F432" s="56" t="s">
        <v>274</v>
      </c>
      <c r="G432" t="str">
        <f>_xlfn.XLOOKUP(Table4[[#This Row],[GZ]],'[1]BASE TRADE'!$R:$R,'[1]BASE TRADE'!$Q:$Q)</f>
        <v>4. Center</v>
      </c>
    </row>
    <row r="433" spans="1:7">
      <c r="A433" t="str">
        <f>B433&amp;Table4[[#This Row],[Tipo Servicio]]</f>
        <v>HIDALGOMTTO CORRECTIVO PISO - BARRIL</v>
      </c>
      <c r="B433" t="s">
        <v>79</v>
      </c>
      <c r="C433" t="s">
        <v>194</v>
      </c>
      <c r="D433" t="s">
        <v>47</v>
      </c>
      <c r="F433" s="56" t="s">
        <v>276</v>
      </c>
      <c r="G433" t="str">
        <f>_xlfn.XLOOKUP(Table4[[#This Row],[GZ]],'[1]BASE TRADE'!$R:$R,'[1]BASE TRADE'!$Q:$Q)</f>
        <v>4. Center</v>
      </c>
    </row>
    <row r="434" spans="1:7">
      <c r="A434" t="str">
        <f>B434&amp;Table4[[#This Row],[Tipo Servicio]]</f>
        <v>HIDALGOMTTO PREVENTIVO RUTA - BARRIL</v>
      </c>
      <c r="B434" t="s">
        <v>79</v>
      </c>
      <c r="C434" t="s">
        <v>194</v>
      </c>
      <c r="D434" t="s">
        <v>47</v>
      </c>
      <c r="F434" s="56" t="s">
        <v>277</v>
      </c>
      <c r="G434" t="str">
        <f>_xlfn.XLOOKUP(Table4[[#This Row],[GZ]],'[1]BASE TRADE'!$R:$R,'[1]BASE TRADE'!$Q:$Q)</f>
        <v>4. Center</v>
      </c>
    </row>
    <row r="435" spans="1:7">
      <c r="A435" t="str">
        <f>B435&amp;Table4[[#This Row],[Tipo Servicio]]</f>
        <v>HIDALGORECARGA CO2 - BARRIL</v>
      </c>
      <c r="B435" t="s">
        <v>79</v>
      </c>
      <c r="C435" t="s">
        <v>194</v>
      </c>
      <c r="D435" t="s">
        <v>47</v>
      </c>
      <c r="F435" s="56" t="s">
        <v>278</v>
      </c>
      <c r="G435" t="str">
        <f>_xlfn.XLOOKUP(Table4[[#This Row],[GZ]],'[1]BASE TRADE'!$R:$R,'[1]BASE TRADE'!$Q:$Q)</f>
        <v>4. Center</v>
      </c>
    </row>
    <row r="436" spans="1:7">
      <c r="A436" t="str">
        <f>B436&amp;Table4[[#This Row],[Tipo Servicio]]</f>
        <v>HIDALGOREFACCIONES - BARRIL</v>
      </c>
      <c r="B436" t="s">
        <v>79</v>
      </c>
      <c r="C436" t="s">
        <v>194</v>
      </c>
      <c r="D436" t="s">
        <v>47</v>
      </c>
      <c r="F436" s="56" t="s">
        <v>102</v>
      </c>
      <c r="G436" t="str">
        <f>_xlfn.XLOOKUP(Table4[[#This Row],[GZ]],'[1]BASE TRADE'!$R:$R,'[1]BASE TRADE'!$Q:$Q)</f>
        <v>4. Center</v>
      </c>
    </row>
    <row r="437" spans="1:7">
      <c r="A437" t="str">
        <f>B437&amp;Table4[[#This Row],[Tipo Servicio]]</f>
        <v>HIDALGOSERVICIO EXPRESS PISO - ENFRIADOR</v>
      </c>
      <c r="B437" t="s">
        <v>79</v>
      </c>
      <c r="C437" t="s">
        <v>195</v>
      </c>
      <c r="D437" t="s">
        <v>132</v>
      </c>
      <c r="F437" s="56" t="s">
        <v>275</v>
      </c>
      <c r="G437" t="str">
        <f>_xlfn.XLOOKUP(Table4[[#This Row],[GZ]],'[1]BASE TRADE'!$R:$R,'[1]BASE TRADE'!$Q:$Q)</f>
        <v>4. Center</v>
      </c>
    </row>
    <row r="438" spans="1:7">
      <c r="A438" t="str">
        <f>B438&amp;Table4[[#This Row],[Tipo Servicio]]</f>
        <v>HIDALGOREFACCIONES - ENFRIADOR</v>
      </c>
      <c r="B438" t="s">
        <v>79</v>
      </c>
      <c r="C438" t="s">
        <v>195</v>
      </c>
      <c r="D438" t="s">
        <v>132</v>
      </c>
      <c r="F438" s="56" t="s">
        <v>41</v>
      </c>
      <c r="G438" t="str">
        <f>_xlfn.XLOOKUP(Table4[[#This Row],[GZ]],'[1]BASE TRADE'!$R:$R,'[1]BASE TRADE'!$Q:$Q)</f>
        <v>4. Center</v>
      </c>
    </row>
    <row r="439" spans="1:7">
      <c r="A439" t="str">
        <f>B439&amp;Table4[[#This Row],[Tipo Servicio]]</f>
        <v>JALISCO-COLIMA-NAYARITINSTALACION - MAQUINA HIELO</v>
      </c>
      <c r="B439" t="s">
        <v>80</v>
      </c>
      <c r="C439" t="s">
        <v>231</v>
      </c>
      <c r="D439" t="s">
        <v>45</v>
      </c>
      <c r="F439" s="56" t="s">
        <v>284</v>
      </c>
      <c r="G439" t="s">
        <v>219</v>
      </c>
    </row>
    <row r="440" spans="1:7">
      <c r="A440" t="str">
        <f>B440&amp;Table4[[#This Row],[Tipo Servicio]]</f>
        <v>JALISCO-COLIMA-NAYARITINSTALACION - BARRIL</v>
      </c>
      <c r="B440" t="s">
        <v>80</v>
      </c>
      <c r="C440" t="s">
        <v>231</v>
      </c>
      <c r="D440" t="s">
        <v>45</v>
      </c>
      <c r="F440" s="56" t="s">
        <v>279</v>
      </c>
      <c r="G440" t="s">
        <v>219</v>
      </c>
    </row>
    <row r="441" spans="1:7">
      <c r="A441" t="str">
        <f>B441&amp;Table4[[#This Row],[Tipo Servicio]]</f>
        <v>JALISCO-COLIMA-NAYARITINSTALACION - CUARTO FRIO</v>
      </c>
      <c r="B441" t="s">
        <v>80</v>
      </c>
      <c r="C441" t="s">
        <v>231</v>
      </c>
      <c r="D441" t="s">
        <v>45</v>
      </c>
      <c r="F441" s="56" t="s">
        <v>282</v>
      </c>
      <c r="G441" t="s">
        <v>219</v>
      </c>
    </row>
    <row r="442" spans="1:7">
      <c r="A442" t="str">
        <f>B442&amp;Table4[[#This Row],[Tipo Servicio]]</f>
        <v>JALISCO-COLIMA-NAYARITRETIRO - ENFRIADOR</v>
      </c>
      <c r="B442" t="s">
        <v>80</v>
      </c>
      <c r="C442" t="s">
        <v>231</v>
      </c>
      <c r="D442" t="s">
        <v>45</v>
      </c>
      <c r="F442" s="56" t="s">
        <v>273</v>
      </c>
      <c r="G442" t="s">
        <v>219</v>
      </c>
    </row>
    <row r="443" spans="1:7">
      <c r="A443" t="str">
        <f>B443&amp;Table4[[#This Row],[Tipo Servicio]]</f>
        <v>JALISCO-COLIMA-NAYARITRETIRO - MAQUINA HIELO</v>
      </c>
      <c r="B443" t="s">
        <v>80</v>
      </c>
      <c r="C443" t="s">
        <v>231</v>
      </c>
      <c r="D443" t="s">
        <v>45</v>
      </c>
      <c r="F443" s="56" t="s">
        <v>285</v>
      </c>
      <c r="G443" t="s">
        <v>219</v>
      </c>
    </row>
    <row r="444" spans="1:7">
      <c r="A444" t="str">
        <f>B444&amp;Table4[[#This Row],[Tipo Servicio]]</f>
        <v>JALISCO-COLIMA-NAYARITRETIRO - BARRIL</v>
      </c>
      <c r="B444" t="s">
        <v>80</v>
      </c>
      <c r="C444" t="s">
        <v>231</v>
      </c>
      <c r="D444" t="s">
        <v>45</v>
      </c>
      <c r="F444" s="56" t="s">
        <v>280</v>
      </c>
      <c r="G444" t="s">
        <v>219</v>
      </c>
    </row>
    <row r="445" spans="1:7">
      <c r="A445" t="str">
        <f>B445&amp;Table4[[#This Row],[Tipo Servicio]]</f>
        <v>JALISCO-COLIMA-NAYARITRETIRO - CUARTO FRIO</v>
      </c>
      <c r="B445" t="s">
        <v>80</v>
      </c>
      <c r="C445" t="s">
        <v>231</v>
      </c>
      <c r="D445" t="s">
        <v>45</v>
      </c>
      <c r="F445" s="56" t="s">
        <v>283</v>
      </c>
      <c r="G445" t="s">
        <v>219</v>
      </c>
    </row>
    <row r="446" spans="1:7">
      <c r="A446" t="str">
        <f>B446&amp;Table4[[#This Row],[Tipo Servicio]]</f>
        <v>JALISCO-COLIMA-NAYARITPRIMERA POSICION - ENFRIADOR</v>
      </c>
      <c r="B446" t="s">
        <v>80</v>
      </c>
      <c r="C446" t="s">
        <v>231</v>
      </c>
      <c r="D446" t="s">
        <v>45</v>
      </c>
      <c r="F446" s="56" t="s">
        <v>274</v>
      </c>
      <c r="G446" t="s">
        <v>219</v>
      </c>
    </row>
    <row r="447" spans="1:7">
      <c r="A447" t="str">
        <f>B447&amp;Table4[[#This Row],[Tipo Servicio]]</f>
        <v>JALISCO-COLIMA-NAYARITMTTO CORRECTIVO PISO - BARRIL</v>
      </c>
      <c r="B447" t="s">
        <v>80</v>
      </c>
      <c r="C447" t="s">
        <v>229</v>
      </c>
      <c r="D447" t="s">
        <v>47</v>
      </c>
      <c r="F447" s="56" t="s">
        <v>276</v>
      </c>
      <c r="G447" t="s">
        <v>219</v>
      </c>
    </row>
    <row r="448" spans="1:7">
      <c r="A448" t="str">
        <f>B448&amp;Table4[[#This Row],[Tipo Servicio]]</f>
        <v>JALISCO-COLIMA-NAYARITMTTO PREVENTIVO RUTA - BARRIL</v>
      </c>
      <c r="B448" t="s">
        <v>80</v>
      </c>
      <c r="C448" t="s">
        <v>229</v>
      </c>
      <c r="D448" t="s">
        <v>47</v>
      </c>
      <c r="F448" s="56" t="s">
        <v>277</v>
      </c>
      <c r="G448" t="s">
        <v>219</v>
      </c>
    </row>
    <row r="449" spans="1:7">
      <c r="A449" t="str">
        <f>B449&amp;Table4[[#This Row],[Tipo Servicio]]</f>
        <v>JALISCO-COLIMA-NAYARITRECARGA CO2 - BARRIL</v>
      </c>
      <c r="B449" t="s">
        <v>80</v>
      </c>
      <c r="C449" t="s">
        <v>229</v>
      </c>
      <c r="D449" t="s">
        <v>47</v>
      </c>
      <c r="F449" s="56" t="s">
        <v>278</v>
      </c>
      <c r="G449" t="s">
        <v>219</v>
      </c>
    </row>
    <row r="450" spans="1:7">
      <c r="A450" t="str">
        <f>B450&amp;Table4[[#This Row],[Tipo Servicio]]</f>
        <v>JALISCO-COLIMA-NAYARITREFACCIONES - BARRIL</v>
      </c>
      <c r="B450" t="s">
        <v>80</v>
      </c>
      <c r="C450" t="s">
        <v>229</v>
      </c>
      <c r="D450" t="s">
        <v>47</v>
      </c>
      <c r="F450" s="56" t="s">
        <v>102</v>
      </c>
      <c r="G450" t="s">
        <v>219</v>
      </c>
    </row>
    <row r="451" spans="1:7">
      <c r="A451" t="str">
        <f>B451&amp;Table4[[#This Row],[Tipo Servicio]]</f>
        <v>JALISCO-COLIMA-NAYARITSERVICIO EXPRESS PISO - ENFRIADOR</v>
      </c>
      <c r="B451" t="s">
        <v>80</v>
      </c>
      <c r="C451" t="s">
        <v>230</v>
      </c>
      <c r="D451" t="s">
        <v>132</v>
      </c>
      <c r="F451" s="56" t="s">
        <v>275</v>
      </c>
      <c r="G451" t="s">
        <v>219</v>
      </c>
    </row>
    <row r="452" spans="1:7">
      <c r="A452" t="str">
        <f>B452&amp;Table4[[#This Row],[Tipo Servicio]]</f>
        <v>JALISCO-COLIMA-NAYARITREFACCIONES - ENFRIADOR</v>
      </c>
      <c r="B452" t="s">
        <v>80</v>
      </c>
      <c r="C452" t="s">
        <v>230</v>
      </c>
      <c r="D452" t="s">
        <v>132</v>
      </c>
      <c r="F452" s="56" t="s">
        <v>41</v>
      </c>
      <c r="G452" t="s">
        <v>219</v>
      </c>
    </row>
    <row r="453" spans="1:7">
      <c r="A453" t="str">
        <f>B453&amp;Table4[[#This Row],[Tipo Servicio]]</f>
        <v>JALISCO-COLIMA-NAYARITMTTO CORRECTIVO PISO - MAQUINA HIELO</v>
      </c>
      <c r="B453" t="s">
        <v>80</v>
      </c>
      <c r="C453" t="s">
        <v>256</v>
      </c>
      <c r="D453" t="s">
        <v>128</v>
      </c>
      <c r="F453" s="56" t="s">
        <v>286</v>
      </c>
      <c r="G453" t="s">
        <v>219</v>
      </c>
    </row>
    <row r="454" spans="1:7">
      <c r="A454" t="str">
        <f>B454&amp;Table4[[#This Row],[Tipo Servicio]]</f>
        <v>JALISCO-COLIMA-NAYARITMTTO PREVENTIVO RUTA - MAQUINA HIELO</v>
      </c>
      <c r="B454" t="s">
        <v>80</v>
      </c>
      <c r="C454" t="s">
        <v>256</v>
      </c>
      <c r="D454" t="s">
        <v>128</v>
      </c>
      <c r="F454" s="56" t="s">
        <v>287</v>
      </c>
      <c r="G454" t="s">
        <v>219</v>
      </c>
    </row>
    <row r="455" spans="1:7">
      <c r="A455" t="str">
        <f>B455&amp;Table4[[#This Row],[Tipo Servicio]]</f>
        <v>JALISCO-COLIMA-NAYARITREFACCIONES - MAQUINA HIELO</v>
      </c>
      <c r="B455" t="s">
        <v>80</v>
      </c>
      <c r="C455" t="s">
        <v>256</v>
      </c>
      <c r="D455" t="s">
        <v>128</v>
      </c>
      <c r="F455" s="56" t="s">
        <v>39</v>
      </c>
      <c r="G455" t="s">
        <v>219</v>
      </c>
    </row>
    <row r="456" spans="1:7">
      <c r="A456" t="str">
        <f>B456&amp;Table4[[#This Row],[Tipo Servicio]]</f>
        <v>JUAREZINSTALACION - MAQUINA HIELO</v>
      </c>
      <c r="B456" t="s">
        <v>81</v>
      </c>
      <c r="C456" t="s">
        <v>138</v>
      </c>
      <c r="D456" t="s">
        <v>45</v>
      </c>
      <c r="F456" s="56" t="s">
        <v>284</v>
      </c>
      <c r="G456" t="s">
        <v>139</v>
      </c>
    </row>
    <row r="457" spans="1:7">
      <c r="A457" t="str">
        <f>B457&amp;Table4[[#This Row],[Tipo Servicio]]</f>
        <v>JUAREZINSTALACION - BARRIL</v>
      </c>
      <c r="B457" t="s">
        <v>81</v>
      </c>
      <c r="C457" t="s">
        <v>138</v>
      </c>
      <c r="D457" t="s">
        <v>45</v>
      </c>
      <c r="F457" s="56" t="s">
        <v>279</v>
      </c>
      <c r="G457" t="s">
        <v>139</v>
      </c>
    </row>
    <row r="458" spans="1:7">
      <c r="A458" t="str">
        <f>B458&amp;Table4[[#This Row],[Tipo Servicio]]</f>
        <v>JUAREZINSTALACION - CUARTO FRIO</v>
      </c>
      <c r="B458" t="s">
        <v>81</v>
      </c>
      <c r="C458" t="s">
        <v>138</v>
      </c>
      <c r="D458" t="s">
        <v>45</v>
      </c>
      <c r="F458" s="56" t="s">
        <v>282</v>
      </c>
      <c r="G458" t="s">
        <v>139</v>
      </c>
    </row>
    <row r="459" spans="1:7">
      <c r="A459" t="str">
        <f>B459&amp;Table4[[#This Row],[Tipo Servicio]]</f>
        <v>JUAREZRETIRO - ENFRIADOR</v>
      </c>
      <c r="B459" t="s">
        <v>81</v>
      </c>
      <c r="C459" t="s">
        <v>138</v>
      </c>
      <c r="D459" t="s">
        <v>45</v>
      </c>
      <c r="F459" s="56" t="s">
        <v>273</v>
      </c>
      <c r="G459" t="s">
        <v>139</v>
      </c>
    </row>
    <row r="460" spans="1:7">
      <c r="A460" t="str">
        <f>B460&amp;Table4[[#This Row],[Tipo Servicio]]</f>
        <v>JUAREZRETIRO - MAQUINA HIELO</v>
      </c>
      <c r="B460" t="s">
        <v>81</v>
      </c>
      <c r="C460" t="s">
        <v>138</v>
      </c>
      <c r="D460" t="s">
        <v>45</v>
      </c>
      <c r="F460" s="56" t="s">
        <v>285</v>
      </c>
      <c r="G460" t="s">
        <v>139</v>
      </c>
    </row>
    <row r="461" spans="1:7">
      <c r="A461" t="str">
        <f>B461&amp;Table4[[#This Row],[Tipo Servicio]]</f>
        <v>JUAREZRETIRO - BARRIL</v>
      </c>
      <c r="B461" t="s">
        <v>81</v>
      </c>
      <c r="C461" t="s">
        <v>138</v>
      </c>
      <c r="D461" t="s">
        <v>45</v>
      </c>
      <c r="F461" s="56" t="s">
        <v>280</v>
      </c>
      <c r="G461" t="s">
        <v>139</v>
      </c>
    </row>
    <row r="462" spans="1:7">
      <c r="A462" t="str">
        <f>B462&amp;Table4[[#This Row],[Tipo Servicio]]</f>
        <v>JUAREZRETIRO - CUARTO FRIO</v>
      </c>
      <c r="B462" t="s">
        <v>81</v>
      </c>
      <c r="C462" t="s">
        <v>138</v>
      </c>
      <c r="D462" t="s">
        <v>45</v>
      </c>
      <c r="F462" s="56" t="s">
        <v>283</v>
      </c>
      <c r="G462" t="s">
        <v>139</v>
      </c>
    </row>
    <row r="463" spans="1:7">
      <c r="A463" t="str">
        <f>B463&amp;Table4[[#This Row],[Tipo Servicio]]</f>
        <v>JUAREZPRIMERA POSICION - ENFRIADOR</v>
      </c>
      <c r="B463" t="s">
        <v>81</v>
      </c>
      <c r="C463" t="s">
        <v>138</v>
      </c>
      <c r="D463" t="s">
        <v>45</v>
      </c>
      <c r="F463" s="56" t="s">
        <v>274</v>
      </c>
      <c r="G463" t="s">
        <v>139</v>
      </c>
    </row>
    <row r="464" spans="1:7">
      <c r="A464" t="str">
        <f>B464&amp;Table4[[#This Row],[Tipo Servicio]]</f>
        <v>JUAREZMTTO CORRECTIVO PISO - BARRIL</v>
      </c>
      <c r="B464" t="s">
        <v>81</v>
      </c>
      <c r="C464" t="s">
        <v>140</v>
      </c>
      <c r="D464" t="s">
        <v>47</v>
      </c>
      <c r="F464" s="56" t="s">
        <v>276</v>
      </c>
      <c r="G464" t="s">
        <v>139</v>
      </c>
    </row>
    <row r="465" spans="1:7">
      <c r="A465" t="str">
        <f>B465&amp;Table4[[#This Row],[Tipo Servicio]]</f>
        <v>JUAREZMTTO PREVENTIVO RUTA - BARRIL</v>
      </c>
      <c r="B465" t="s">
        <v>81</v>
      </c>
      <c r="C465" t="s">
        <v>140</v>
      </c>
      <c r="D465" t="s">
        <v>47</v>
      </c>
      <c r="F465" s="56" t="s">
        <v>277</v>
      </c>
      <c r="G465" t="s">
        <v>139</v>
      </c>
    </row>
    <row r="466" spans="1:7">
      <c r="A466" t="str">
        <f>B466&amp;Table4[[#This Row],[Tipo Servicio]]</f>
        <v>JUAREZRECARGA CO2 - BARRIL</v>
      </c>
      <c r="B466" t="s">
        <v>81</v>
      </c>
      <c r="C466" t="s">
        <v>140</v>
      </c>
      <c r="D466" t="s">
        <v>47</v>
      </c>
      <c r="F466" s="56" t="s">
        <v>278</v>
      </c>
      <c r="G466" t="s">
        <v>139</v>
      </c>
    </row>
    <row r="467" spans="1:7">
      <c r="A467" t="str">
        <f>B467&amp;Table4[[#This Row],[Tipo Servicio]]</f>
        <v>JUAREZREFACCIONES - BARRIL</v>
      </c>
      <c r="B467" t="s">
        <v>81</v>
      </c>
      <c r="C467" t="s">
        <v>140</v>
      </c>
      <c r="D467" t="s">
        <v>47</v>
      </c>
      <c r="F467" s="56" t="s">
        <v>102</v>
      </c>
      <c r="G467" t="s">
        <v>139</v>
      </c>
    </row>
    <row r="468" spans="1:7">
      <c r="A468" t="str">
        <f>B468&amp;Table4[[#This Row],[Tipo Servicio]]</f>
        <v>JUAREZMTTO PREVENTIVO RUTA - CUARTO FRIO</v>
      </c>
      <c r="B468" t="s">
        <v>81</v>
      </c>
      <c r="C468" t="s">
        <v>141</v>
      </c>
      <c r="D468" t="s">
        <v>142</v>
      </c>
      <c r="F468" s="56" t="s">
        <v>281</v>
      </c>
      <c r="G468" t="s">
        <v>139</v>
      </c>
    </row>
    <row r="469" spans="1:7">
      <c r="A469" t="str">
        <f>B469&amp;Table4[[#This Row],[Tipo Servicio]]</f>
        <v>JUAREZREFACCIONES - CUARTO FRIO</v>
      </c>
      <c r="B469" t="s">
        <v>81</v>
      </c>
      <c r="C469" t="s">
        <v>141</v>
      </c>
      <c r="D469" t="s">
        <v>142</v>
      </c>
      <c r="F469" s="56" t="s">
        <v>105</v>
      </c>
      <c r="G469" t="s">
        <v>139</v>
      </c>
    </row>
    <row r="470" spans="1:7">
      <c r="A470" t="str">
        <f>B470&amp;Table4[[#This Row],[Tipo Servicio]]</f>
        <v>JUAREZSERVICIO EXPRESS PISO - ENFRIADOR</v>
      </c>
      <c r="B470" t="s">
        <v>81</v>
      </c>
      <c r="C470" t="s">
        <v>145</v>
      </c>
      <c r="D470" t="s">
        <v>132</v>
      </c>
      <c r="F470" s="56" t="s">
        <v>275</v>
      </c>
      <c r="G470" t="s">
        <v>139</v>
      </c>
    </row>
    <row r="471" spans="1:7">
      <c r="A471" t="str">
        <f>B471&amp;Table4[[#This Row],[Tipo Servicio]]</f>
        <v>JUAREZREFACCIONES - ENFRIADOR</v>
      </c>
      <c r="B471" t="s">
        <v>81</v>
      </c>
      <c r="C471" t="s">
        <v>145</v>
      </c>
      <c r="D471" t="s">
        <v>132</v>
      </c>
      <c r="F471" s="56" t="s">
        <v>41</v>
      </c>
      <c r="G471" t="s">
        <v>139</v>
      </c>
    </row>
    <row r="472" spans="1:7">
      <c r="A472" t="str">
        <f>B472&amp;Table4[[#This Row],[Tipo Servicio]]</f>
        <v>JUAREZMTTO CORRECTIVO PISO - MAQUINA HIELO</v>
      </c>
      <c r="B472" t="s">
        <v>81</v>
      </c>
      <c r="C472" t="s">
        <v>144</v>
      </c>
      <c r="D472" t="s">
        <v>128</v>
      </c>
      <c r="F472" s="56" t="s">
        <v>286</v>
      </c>
      <c r="G472" t="s">
        <v>139</v>
      </c>
    </row>
    <row r="473" spans="1:7">
      <c r="A473" t="str">
        <f>B473&amp;Table4[[#This Row],[Tipo Servicio]]</f>
        <v>JUAREZMTTO PREVENTIVO RUTA - MAQUINA HIELO</v>
      </c>
      <c r="B473" t="s">
        <v>81</v>
      </c>
      <c r="C473" t="s">
        <v>144</v>
      </c>
      <c r="D473" t="s">
        <v>128</v>
      </c>
      <c r="F473" s="56" t="s">
        <v>287</v>
      </c>
      <c r="G473" t="s">
        <v>139</v>
      </c>
    </row>
    <row r="474" spans="1:7">
      <c r="A474" t="str">
        <f>B474&amp;Table4[[#This Row],[Tipo Servicio]]</f>
        <v>JUAREZREFACCIONES - MAQUINA HIELO</v>
      </c>
      <c r="B474" t="s">
        <v>81</v>
      </c>
      <c r="C474" t="s">
        <v>144</v>
      </c>
      <c r="D474" t="s">
        <v>128</v>
      </c>
      <c r="F474" s="56" t="s">
        <v>39</v>
      </c>
      <c r="G474" t="s">
        <v>139</v>
      </c>
    </row>
    <row r="475" spans="1:7">
      <c r="A475" t="str">
        <f>B475&amp;Table4[[#This Row],[Tipo Servicio]]</f>
        <v>MICHOACANINSTALACION - MAQUINA HIELO</v>
      </c>
      <c r="B475" t="s">
        <v>82</v>
      </c>
      <c r="C475" t="s">
        <v>255</v>
      </c>
      <c r="D475" t="s">
        <v>45</v>
      </c>
      <c r="F475" s="56" t="s">
        <v>284</v>
      </c>
      <c r="G475" t="s">
        <v>219</v>
      </c>
    </row>
    <row r="476" spans="1:7">
      <c r="A476" t="str">
        <f>B476&amp;Table4[[#This Row],[Tipo Servicio]]</f>
        <v>MICHOACANINSTALACION - BARRIL</v>
      </c>
      <c r="B476" t="s">
        <v>82</v>
      </c>
      <c r="C476" t="s">
        <v>255</v>
      </c>
      <c r="D476" t="s">
        <v>45</v>
      </c>
      <c r="F476" s="56" t="s">
        <v>279</v>
      </c>
      <c r="G476" t="s">
        <v>219</v>
      </c>
    </row>
    <row r="477" spans="1:7">
      <c r="A477" t="str">
        <f>B477&amp;Table4[[#This Row],[Tipo Servicio]]</f>
        <v>MICHOACANINSTALACION - CUARTO FRIO</v>
      </c>
      <c r="B477" t="s">
        <v>82</v>
      </c>
      <c r="C477" t="s">
        <v>255</v>
      </c>
      <c r="D477" t="s">
        <v>45</v>
      </c>
      <c r="F477" s="56" t="s">
        <v>282</v>
      </c>
      <c r="G477" t="s">
        <v>219</v>
      </c>
    </row>
    <row r="478" spans="1:7">
      <c r="A478" t="str">
        <f>B478&amp;Table4[[#This Row],[Tipo Servicio]]</f>
        <v>MICHOACANRETIRO - ENFRIADOR</v>
      </c>
      <c r="B478" t="s">
        <v>82</v>
      </c>
      <c r="C478" t="s">
        <v>255</v>
      </c>
      <c r="D478" t="s">
        <v>45</v>
      </c>
      <c r="F478" s="56" t="s">
        <v>273</v>
      </c>
      <c r="G478" t="s">
        <v>219</v>
      </c>
    </row>
    <row r="479" spans="1:7">
      <c r="A479" t="str">
        <f>B479&amp;Table4[[#This Row],[Tipo Servicio]]</f>
        <v>MICHOACANRETIRO - MAQUINA HIELO</v>
      </c>
      <c r="B479" t="s">
        <v>82</v>
      </c>
      <c r="C479" t="s">
        <v>255</v>
      </c>
      <c r="D479" t="s">
        <v>45</v>
      </c>
      <c r="F479" s="56" t="s">
        <v>285</v>
      </c>
      <c r="G479" t="s">
        <v>219</v>
      </c>
    </row>
    <row r="480" spans="1:7">
      <c r="A480" t="str">
        <f>B480&amp;Table4[[#This Row],[Tipo Servicio]]</f>
        <v>MICHOACANRETIRO - BARRIL</v>
      </c>
      <c r="B480" t="s">
        <v>82</v>
      </c>
      <c r="C480" t="s">
        <v>255</v>
      </c>
      <c r="D480" t="s">
        <v>45</v>
      </c>
      <c r="F480" s="56" t="s">
        <v>280</v>
      </c>
      <c r="G480" t="s">
        <v>219</v>
      </c>
    </row>
    <row r="481" spans="1:7">
      <c r="A481" t="str">
        <f>B481&amp;Table4[[#This Row],[Tipo Servicio]]</f>
        <v>MICHOACANRETIRO - CUARTO FRIO</v>
      </c>
      <c r="B481" t="s">
        <v>82</v>
      </c>
      <c r="C481" t="s">
        <v>255</v>
      </c>
      <c r="D481" t="s">
        <v>45</v>
      </c>
      <c r="F481" s="56" t="s">
        <v>283</v>
      </c>
      <c r="G481" t="s">
        <v>219</v>
      </c>
    </row>
    <row r="482" spans="1:7">
      <c r="A482" t="str">
        <f>B482&amp;Table4[[#This Row],[Tipo Servicio]]</f>
        <v>MICHOACANPRIMERA POSICION - ENFRIADOR</v>
      </c>
      <c r="B482" t="s">
        <v>82</v>
      </c>
      <c r="C482" t="s">
        <v>255</v>
      </c>
      <c r="D482" t="s">
        <v>45</v>
      </c>
      <c r="F482" s="56" t="s">
        <v>274</v>
      </c>
      <c r="G482" t="s">
        <v>219</v>
      </c>
    </row>
    <row r="483" spans="1:7">
      <c r="A483" t="str">
        <f>B483&amp;Table4[[#This Row],[Tipo Servicio]]</f>
        <v>MICHOACANMTTO CORRECTIVO PISO - BARRIL</v>
      </c>
      <c r="B483" t="s">
        <v>82</v>
      </c>
      <c r="C483" t="s">
        <v>253</v>
      </c>
      <c r="D483" t="s">
        <v>47</v>
      </c>
      <c r="F483" s="56" t="s">
        <v>276</v>
      </c>
      <c r="G483" t="s">
        <v>219</v>
      </c>
    </row>
    <row r="484" spans="1:7">
      <c r="A484" t="str">
        <f>B484&amp;Table4[[#This Row],[Tipo Servicio]]</f>
        <v>MICHOACANMTTO PREVENTIVO RUTA - BARRIL</v>
      </c>
      <c r="B484" t="s">
        <v>82</v>
      </c>
      <c r="C484" t="s">
        <v>253</v>
      </c>
      <c r="D484" t="s">
        <v>47</v>
      </c>
      <c r="F484" s="56" t="s">
        <v>277</v>
      </c>
      <c r="G484" t="s">
        <v>219</v>
      </c>
    </row>
    <row r="485" spans="1:7">
      <c r="A485" t="str">
        <f>B485&amp;Table4[[#This Row],[Tipo Servicio]]</f>
        <v>MICHOACANRECARGA CO2 - BARRIL</v>
      </c>
      <c r="B485" t="s">
        <v>82</v>
      </c>
      <c r="C485" t="s">
        <v>253</v>
      </c>
      <c r="D485" t="s">
        <v>47</v>
      </c>
      <c r="F485" s="56" t="s">
        <v>278</v>
      </c>
      <c r="G485" t="s">
        <v>219</v>
      </c>
    </row>
    <row r="486" spans="1:7">
      <c r="A486" t="str">
        <f>B486&amp;Table4[[#This Row],[Tipo Servicio]]</f>
        <v>MICHOACANREFACCIONES - BARRIL</v>
      </c>
      <c r="B486" t="s">
        <v>82</v>
      </c>
      <c r="C486" t="s">
        <v>253</v>
      </c>
      <c r="D486" t="s">
        <v>47</v>
      </c>
      <c r="F486" s="56" t="s">
        <v>102</v>
      </c>
      <c r="G486" t="s">
        <v>219</v>
      </c>
    </row>
    <row r="487" spans="1:7">
      <c r="A487" t="str">
        <f>B487&amp;Table4[[#This Row],[Tipo Servicio]]</f>
        <v>MICHOACANSERVICIO EXPRESS PISO - ENFRIADOR</v>
      </c>
      <c r="B487" t="s">
        <v>82</v>
      </c>
      <c r="C487" t="s">
        <v>254</v>
      </c>
      <c r="D487" t="s">
        <v>132</v>
      </c>
      <c r="F487" s="56" t="s">
        <v>275</v>
      </c>
      <c r="G487" t="s">
        <v>219</v>
      </c>
    </row>
    <row r="488" spans="1:7">
      <c r="A488" t="str">
        <f>B488&amp;Table4[[#This Row],[Tipo Servicio]]</f>
        <v>MICHOACANREFACCIONES - ENFRIADOR</v>
      </c>
      <c r="B488" t="s">
        <v>82</v>
      </c>
      <c r="C488" t="s">
        <v>254</v>
      </c>
      <c r="D488" t="s">
        <v>132</v>
      </c>
      <c r="F488" s="56" t="s">
        <v>41</v>
      </c>
      <c r="G488" t="s">
        <v>219</v>
      </c>
    </row>
    <row r="489" spans="1:7">
      <c r="A489" t="str">
        <f>B489&amp;Table4[[#This Row],[Tipo Servicio]]</f>
        <v>YUCAMINSTALACION - MAQUINA HIELO</v>
      </c>
      <c r="B489" t="s">
        <v>100</v>
      </c>
      <c r="C489" t="s">
        <v>179</v>
      </c>
      <c r="D489" t="s">
        <v>45</v>
      </c>
      <c r="F489" s="56" t="s">
        <v>284</v>
      </c>
      <c r="G489" t="s">
        <v>176</v>
      </c>
    </row>
    <row r="490" spans="1:7">
      <c r="A490" t="str">
        <f>B490&amp;Table4[[#This Row],[Tipo Servicio]]</f>
        <v>YUCAMINSTALACION - BARRIL</v>
      </c>
      <c r="B490" t="s">
        <v>100</v>
      </c>
      <c r="C490" t="s">
        <v>179</v>
      </c>
      <c r="D490" t="s">
        <v>45</v>
      </c>
      <c r="F490" s="56" t="s">
        <v>279</v>
      </c>
      <c r="G490" t="s">
        <v>176</v>
      </c>
    </row>
    <row r="491" spans="1:7">
      <c r="A491" t="str">
        <f>B491&amp;Table4[[#This Row],[Tipo Servicio]]</f>
        <v>YUCAMINSTALACION - CUARTO FRIO</v>
      </c>
      <c r="B491" t="s">
        <v>100</v>
      </c>
      <c r="C491" t="s">
        <v>179</v>
      </c>
      <c r="D491" t="s">
        <v>45</v>
      </c>
      <c r="F491" s="56" t="s">
        <v>282</v>
      </c>
      <c r="G491" t="s">
        <v>176</v>
      </c>
    </row>
    <row r="492" spans="1:7">
      <c r="A492" t="str">
        <f>B492&amp;Table4[[#This Row],[Tipo Servicio]]</f>
        <v>YUCAMRETIRO - ENFRIADOR</v>
      </c>
      <c r="B492" t="s">
        <v>100</v>
      </c>
      <c r="C492" t="s">
        <v>179</v>
      </c>
      <c r="D492" t="s">
        <v>45</v>
      </c>
      <c r="F492" s="56" t="s">
        <v>273</v>
      </c>
      <c r="G492" t="s">
        <v>176</v>
      </c>
    </row>
    <row r="493" spans="1:7">
      <c r="A493" t="str">
        <f>B493&amp;Table4[[#This Row],[Tipo Servicio]]</f>
        <v>YUCAMRETIRO - MAQUINA HIELO</v>
      </c>
      <c r="B493" t="s">
        <v>100</v>
      </c>
      <c r="C493" t="s">
        <v>179</v>
      </c>
      <c r="D493" t="s">
        <v>45</v>
      </c>
      <c r="F493" s="56" t="s">
        <v>285</v>
      </c>
      <c r="G493" t="s">
        <v>176</v>
      </c>
    </row>
    <row r="494" spans="1:7">
      <c r="A494" t="str">
        <f>B494&amp;Table4[[#This Row],[Tipo Servicio]]</f>
        <v>YUCAMRETIRO - BARRIL</v>
      </c>
      <c r="B494" t="s">
        <v>100</v>
      </c>
      <c r="C494" t="s">
        <v>179</v>
      </c>
      <c r="D494" t="s">
        <v>45</v>
      </c>
      <c r="F494" s="56" t="s">
        <v>280</v>
      </c>
      <c r="G494" t="s">
        <v>176</v>
      </c>
    </row>
    <row r="495" spans="1:7">
      <c r="A495" t="str">
        <f>B495&amp;Table4[[#This Row],[Tipo Servicio]]</f>
        <v>YUCAMRETIRO - CUARTO FRIO</v>
      </c>
      <c r="B495" t="s">
        <v>100</v>
      </c>
      <c r="C495" t="s">
        <v>179</v>
      </c>
      <c r="D495" t="s">
        <v>45</v>
      </c>
      <c r="F495" s="56" t="s">
        <v>283</v>
      </c>
      <c r="G495" t="s">
        <v>176</v>
      </c>
    </row>
    <row r="496" spans="1:7">
      <c r="A496" t="str">
        <f>B496&amp;Table4[[#This Row],[Tipo Servicio]]</f>
        <v>YUCAMPRIMERA POSICION - ENFRIADOR</v>
      </c>
      <c r="B496" t="s">
        <v>100</v>
      </c>
      <c r="C496" t="s">
        <v>179</v>
      </c>
      <c r="D496" t="s">
        <v>45</v>
      </c>
      <c r="F496" s="56" t="s">
        <v>274</v>
      </c>
      <c r="G496" t="s">
        <v>176</v>
      </c>
    </row>
    <row r="497" spans="1:7">
      <c r="A497" t="str">
        <f>B497&amp;Table4[[#This Row],[Tipo Servicio]]</f>
        <v>YUCAMMTTO CORRECTIVO PISO - BARRIL</v>
      </c>
      <c r="B497" t="s">
        <v>100</v>
      </c>
      <c r="C497" t="s">
        <v>177</v>
      </c>
      <c r="D497" t="s">
        <v>47</v>
      </c>
      <c r="F497" s="56" t="s">
        <v>276</v>
      </c>
      <c r="G497" t="s">
        <v>176</v>
      </c>
    </row>
    <row r="498" spans="1:7">
      <c r="A498" t="str">
        <f>B498&amp;Table4[[#This Row],[Tipo Servicio]]</f>
        <v>YUCAMMTTO PREVENTIVO RUTA - BARRIL</v>
      </c>
      <c r="B498" t="s">
        <v>100</v>
      </c>
      <c r="C498" t="s">
        <v>177</v>
      </c>
      <c r="D498" t="s">
        <v>47</v>
      </c>
      <c r="F498" s="56" t="s">
        <v>277</v>
      </c>
      <c r="G498" t="s">
        <v>176</v>
      </c>
    </row>
    <row r="499" spans="1:7">
      <c r="A499" t="str">
        <f>B499&amp;Table4[[#This Row],[Tipo Servicio]]</f>
        <v>YUCAMRECARGA CO2 - BARRIL</v>
      </c>
      <c r="B499" t="s">
        <v>100</v>
      </c>
      <c r="C499" t="s">
        <v>177</v>
      </c>
      <c r="D499" t="s">
        <v>47</v>
      </c>
      <c r="F499" s="56" t="s">
        <v>278</v>
      </c>
      <c r="G499" t="s">
        <v>176</v>
      </c>
    </row>
    <row r="500" spans="1:7">
      <c r="A500" t="str">
        <f>B500&amp;Table4[[#This Row],[Tipo Servicio]]</f>
        <v>YUCAMREFACCIONES - BARRIL</v>
      </c>
      <c r="B500" t="s">
        <v>100</v>
      </c>
      <c r="C500" t="s">
        <v>177</v>
      </c>
      <c r="D500" t="s">
        <v>47</v>
      </c>
      <c r="F500" s="56" t="s">
        <v>102</v>
      </c>
      <c r="G500" t="s">
        <v>176</v>
      </c>
    </row>
    <row r="501" spans="1:7">
      <c r="A501" t="str">
        <f>B501&amp;Table4[[#This Row],[Tipo Servicio]]</f>
        <v>YUCAMSERVICIO EXPRESS PISO - ENFRIADOR</v>
      </c>
      <c r="B501" t="s">
        <v>100</v>
      </c>
      <c r="C501" t="s">
        <v>178</v>
      </c>
      <c r="D501" t="s">
        <v>132</v>
      </c>
      <c r="F501" s="56" t="s">
        <v>275</v>
      </c>
      <c r="G501" t="s">
        <v>176</v>
      </c>
    </row>
    <row r="502" spans="1:7">
      <c r="A502" t="str">
        <f>B502&amp;Table4[[#This Row],[Tipo Servicio]]</f>
        <v>YUCAMREFACCIONES - ENFRIADOR</v>
      </c>
      <c r="B502" t="s">
        <v>100</v>
      </c>
      <c r="C502" t="s">
        <v>178</v>
      </c>
      <c r="D502" t="s">
        <v>132</v>
      </c>
      <c r="F502" s="56" t="s">
        <v>41</v>
      </c>
      <c r="G502" t="s">
        <v>176</v>
      </c>
    </row>
    <row r="503" spans="1:7">
      <c r="A503" t="str">
        <f>B503&amp;Table4[[#This Row],[Tipo Servicio]]</f>
        <v>VERACRUZ CENTROINSTALACION - MAQUINA HIELO</v>
      </c>
      <c r="B503" t="s">
        <v>98</v>
      </c>
      <c r="C503" t="s">
        <v>184</v>
      </c>
      <c r="D503" t="s">
        <v>45</v>
      </c>
      <c r="F503" s="56" t="s">
        <v>284</v>
      </c>
      <c r="G503" t="str">
        <f>_xlfn.XLOOKUP(Table4[[#This Row],[GZ]],'[1]BASE TRADE'!$R:$R,'[1]BASE TRADE'!$Q:$Q)</f>
        <v>5. Southeast</v>
      </c>
    </row>
    <row r="504" spans="1:7">
      <c r="A504" t="str">
        <f>B504&amp;Table4[[#This Row],[Tipo Servicio]]</f>
        <v>VERACRUZ CENTROINSTALACION - BARRIL</v>
      </c>
      <c r="B504" t="s">
        <v>98</v>
      </c>
      <c r="C504" t="s">
        <v>184</v>
      </c>
      <c r="D504" t="s">
        <v>45</v>
      </c>
      <c r="F504" s="56" t="s">
        <v>279</v>
      </c>
      <c r="G504" t="str">
        <f>_xlfn.XLOOKUP(Table4[[#This Row],[GZ]],'[1]BASE TRADE'!$R:$R,'[1]BASE TRADE'!$Q:$Q)</f>
        <v>5. Southeast</v>
      </c>
    </row>
    <row r="505" spans="1:7">
      <c r="A505" t="str">
        <f>B505&amp;Table4[[#This Row],[Tipo Servicio]]</f>
        <v>VERACRUZ CENTROINSTALACION - CUARTO FRIO</v>
      </c>
      <c r="B505" t="s">
        <v>98</v>
      </c>
      <c r="C505" t="s">
        <v>184</v>
      </c>
      <c r="D505" t="s">
        <v>45</v>
      </c>
      <c r="F505" s="56" t="s">
        <v>282</v>
      </c>
      <c r="G505" t="str">
        <f>_xlfn.XLOOKUP(Table4[[#This Row],[GZ]],'[1]BASE TRADE'!$R:$R,'[1]BASE TRADE'!$Q:$Q)</f>
        <v>5. Southeast</v>
      </c>
    </row>
    <row r="506" spans="1:7">
      <c r="A506" t="str">
        <f>B506&amp;Table4[[#This Row],[Tipo Servicio]]</f>
        <v>VERACRUZ CENTRORETIRO - ENFRIADOR</v>
      </c>
      <c r="B506" t="s">
        <v>98</v>
      </c>
      <c r="C506" t="s">
        <v>184</v>
      </c>
      <c r="D506" t="s">
        <v>45</v>
      </c>
      <c r="F506" s="56" t="s">
        <v>273</v>
      </c>
      <c r="G506" t="str">
        <f>_xlfn.XLOOKUP(Table4[[#This Row],[GZ]],'[1]BASE TRADE'!$R:$R,'[1]BASE TRADE'!$Q:$Q)</f>
        <v>5. Southeast</v>
      </c>
    </row>
    <row r="507" spans="1:7">
      <c r="A507" t="str">
        <f>B507&amp;Table4[[#This Row],[Tipo Servicio]]</f>
        <v>VERACRUZ CENTRORETIRO - MAQUINA HIELO</v>
      </c>
      <c r="B507" t="s">
        <v>98</v>
      </c>
      <c r="C507" t="s">
        <v>184</v>
      </c>
      <c r="D507" t="s">
        <v>45</v>
      </c>
      <c r="F507" s="56" t="s">
        <v>285</v>
      </c>
      <c r="G507" t="str">
        <f>_xlfn.XLOOKUP(Table4[[#This Row],[GZ]],'[1]BASE TRADE'!$R:$R,'[1]BASE TRADE'!$Q:$Q)</f>
        <v>5. Southeast</v>
      </c>
    </row>
    <row r="508" spans="1:7">
      <c r="A508" t="str">
        <f>B508&amp;Table4[[#This Row],[Tipo Servicio]]</f>
        <v>VERACRUZ CENTRORETIRO - BARRIL</v>
      </c>
      <c r="B508" t="s">
        <v>98</v>
      </c>
      <c r="C508" t="s">
        <v>184</v>
      </c>
      <c r="D508" t="s">
        <v>45</v>
      </c>
      <c r="F508" s="56" t="s">
        <v>280</v>
      </c>
      <c r="G508" t="str">
        <f>_xlfn.XLOOKUP(Table4[[#This Row],[GZ]],'[1]BASE TRADE'!$R:$R,'[1]BASE TRADE'!$Q:$Q)</f>
        <v>5. Southeast</v>
      </c>
    </row>
    <row r="509" spans="1:7">
      <c r="A509" t="str">
        <f>B509&amp;Table4[[#This Row],[Tipo Servicio]]</f>
        <v>VERACRUZ CENTRORETIRO - CUARTO FRIO</v>
      </c>
      <c r="B509" t="s">
        <v>98</v>
      </c>
      <c r="C509" t="s">
        <v>184</v>
      </c>
      <c r="D509" t="s">
        <v>45</v>
      </c>
      <c r="F509" s="56" t="s">
        <v>283</v>
      </c>
      <c r="G509" t="str">
        <f>_xlfn.XLOOKUP(Table4[[#This Row],[GZ]],'[1]BASE TRADE'!$R:$R,'[1]BASE TRADE'!$Q:$Q)</f>
        <v>5. Southeast</v>
      </c>
    </row>
    <row r="510" spans="1:7">
      <c r="A510" t="str">
        <f>B510&amp;Table4[[#This Row],[Tipo Servicio]]</f>
        <v>VERACRUZ CENTROPRIMERA POSICION - ENFRIADOR</v>
      </c>
      <c r="B510" t="s">
        <v>98</v>
      </c>
      <c r="C510" t="s">
        <v>184</v>
      </c>
      <c r="D510" t="s">
        <v>45</v>
      </c>
      <c r="F510" s="56" t="s">
        <v>274</v>
      </c>
      <c r="G510" t="str">
        <f>_xlfn.XLOOKUP(Table4[[#This Row],[GZ]],'[1]BASE TRADE'!$R:$R,'[1]BASE TRADE'!$Q:$Q)</f>
        <v>5. Southeast</v>
      </c>
    </row>
    <row r="511" spans="1:7">
      <c r="A511" t="str">
        <f>B511&amp;Table4[[#This Row],[Tipo Servicio]]</f>
        <v>VERACRUZ CENTROMTTO CORRECTIVO PISO - BARRIL</v>
      </c>
      <c r="B511" t="s">
        <v>98</v>
      </c>
      <c r="C511" t="s">
        <v>186</v>
      </c>
      <c r="D511" t="s">
        <v>47</v>
      </c>
      <c r="F511" s="56" t="s">
        <v>276</v>
      </c>
      <c r="G511" t="str">
        <f>_xlfn.XLOOKUP(Table4[[#This Row],[GZ]],'[1]BASE TRADE'!$R:$R,'[1]BASE TRADE'!$Q:$Q)</f>
        <v>5. Southeast</v>
      </c>
    </row>
    <row r="512" spans="1:7">
      <c r="A512" t="str">
        <f>B512&amp;Table4[[#This Row],[Tipo Servicio]]</f>
        <v>VERACRUZ CENTROMTTO PREVENTIVO RUTA - BARRIL</v>
      </c>
      <c r="B512" t="s">
        <v>98</v>
      </c>
      <c r="C512" t="s">
        <v>186</v>
      </c>
      <c r="D512" t="s">
        <v>47</v>
      </c>
      <c r="F512" s="56" t="s">
        <v>277</v>
      </c>
      <c r="G512" t="str">
        <f>_xlfn.XLOOKUP(Table4[[#This Row],[GZ]],'[1]BASE TRADE'!$R:$R,'[1]BASE TRADE'!$Q:$Q)</f>
        <v>5. Southeast</v>
      </c>
    </row>
    <row r="513" spans="1:7">
      <c r="A513" t="str">
        <f>B513&amp;Table4[[#This Row],[Tipo Servicio]]</f>
        <v>VERACRUZ CENTRORECARGA CO2 - BARRIL</v>
      </c>
      <c r="B513" t="s">
        <v>98</v>
      </c>
      <c r="C513" t="s">
        <v>186</v>
      </c>
      <c r="D513" t="s">
        <v>47</v>
      </c>
      <c r="F513" s="56" t="s">
        <v>278</v>
      </c>
      <c r="G513" t="str">
        <f>_xlfn.XLOOKUP(Table4[[#This Row],[GZ]],'[1]BASE TRADE'!$R:$R,'[1]BASE TRADE'!$Q:$Q)</f>
        <v>5. Southeast</v>
      </c>
    </row>
    <row r="514" spans="1:7">
      <c r="A514" t="str">
        <f>B514&amp;Table4[[#This Row],[Tipo Servicio]]</f>
        <v>VERACRUZ CENTROREFACCIONES - BARRIL</v>
      </c>
      <c r="B514" t="s">
        <v>98</v>
      </c>
      <c r="C514" t="s">
        <v>186</v>
      </c>
      <c r="D514" t="s">
        <v>47</v>
      </c>
      <c r="F514" s="56" t="s">
        <v>102</v>
      </c>
      <c r="G514" t="str">
        <f>_xlfn.XLOOKUP(Table4[[#This Row],[GZ]],'[1]BASE TRADE'!$R:$R,'[1]BASE TRADE'!$Q:$Q)</f>
        <v>5. Southeast</v>
      </c>
    </row>
    <row r="515" spans="1:7">
      <c r="A515" t="str">
        <f>B515&amp;Table4[[#This Row],[Tipo Servicio]]</f>
        <v>VERACRUZ CENTROSERVICIO EXPRESS PISO - ENFRIADOR</v>
      </c>
      <c r="B515" t="s">
        <v>98</v>
      </c>
      <c r="C515" t="s">
        <v>187</v>
      </c>
      <c r="D515" t="s">
        <v>132</v>
      </c>
      <c r="F515" s="56" t="s">
        <v>275</v>
      </c>
      <c r="G515" t="str">
        <f>_xlfn.XLOOKUP(Table4[[#This Row],[GZ]],'[1]BASE TRADE'!$R:$R,'[1]BASE TRADE'!$Q:$Q)</f>
        <v>5. Southeast</v>
      </c>
    </row>
    <row r="516" spans="1:7">
      <c r="A516" t="str">
        <f>B516&amp;Table4[[#This Row],[Tipo Servicio]]</f>
        <v>VERACRUZ CENTROREFACCIONES - ENFRIADOR</v>
      </c>
      <c r="B516" t="s">
        <v>98</v>
      </c>
      <c r="C516" t="s">
        <v>187</v>
      </c>
      <c r="D516" t="s">
        <v>132</v>
      </c>
      <c r="F516" s="56" t="s">
        <v>41</v>
      </c>
      <c r="G516" t="str">
        <f>_xlfn.XLOOKUP(Table4[[#This Row],[GZ]],'[1]BASE TRADE'!$R:$R,'[1]BASE TRADE'!$Q:$Q)</f>
        <v>5. Southeast</v>
      </c>
    </row>
    <row r="517" spans="1:7">
      <c r="A517" t="str">
        <f>B517&amp;Table4[[#This Row],[Tipo Servicio]]</f>
        <v>VERACRUZ CENTROMTTO CORRECTIVO PISO - MAQUINA HIELO</v>
      </c>
      <c r="B517" t="s">
        <v>98</v>
      </c>
      <c r="C517" t="s">
        <v>261</v>
      </c>
      <c r="D517" t="s">
        <v>128</v>
      </c>
      <c r="F517" s="56" t="s">
        <v>286</v>
      </c>
      <c r="G517" t="str">
        <f>_xlfn.XLOOKUP(Table4[[#This Row],[GZ]],'[1]BASE TRADE'!$R:$R,'[1]BASE TRADE'!$Q:$Q)</f>
        <v>5. Southeast</v>
      </c>
    </row>
    <row r="518" spans="1:7">
      <c r="A518" t="str">
        <f>B518&amp;Table4[[#This Row],[Tipo Servicio]]</f>
        <v>VERACRUZ CENTROMTTO PREVENTIVO RUTA - MAQUINA HIELO</v>
      </c>
      <c r="B518" t="s">
        <v>98</v>
      </c>
      <c r="C518" t="s">
        <v>261</v>
      </c>
      <c r="D518" t="s">
        <v>128</v>
      </c>
      <c r="F518" s="56" t="s">
        <v>287</v>
      </c>
      <c r="G518" t="str">
        <f>_xlfn.XLOOKUP(Table4[[#This Row],[GZ]],'[1]BASE TRADE'!$R:$R,'[1]BASE TRADE'!$Q:$Q)</f>
        <v>5. Southeast</v>
      </c>
    </row>
    <row r="519" spans="1:7">
      <c r="A519" t="str">
        <f>B519&amp;Table4[[#This Row],[Tipo Servicio]]</f>
        <v>VERACRUZ CENTROREFACCIONES - MAQUINA HIELO</v>
      </c>
      <c r="B519" t="s">
        <v>98</v>
      </c>
      <c r="C519" t="s">
        <v>261</v>
      </c>
      <c r="D519" t="s">
        <v>128</v>
      </c>
      <c r="F519" s="56" t="s">
        <v>39</v>
      </c>
      <c r="G519" t="str">
        <f>_xlfn.XLOOKUP(Table4[[#This Row],[GZ]],'[1]BASE TRADE'!$R:$R,'[1]BASE TRADE'!$Q:$Q)</f>
        <v>5. Southeast</v>
      </c>
    </row>
    <row r="520" spans="1:7">
      <c r="A520" t="str">
        <f>B520&amp;Table4[[#This Row],[Tipo Servicio]]</f>
        <v>VDMINSTALACION - MAQUINA HIELO</v>
      </c>
      <c r="B520" t="s">
        <v>96</v>
      </c>
      <c r="C520" t="s">
        <v>210</v>
      </c>
      <c r="D520" t="s">
        <v>45</v>
      </c>
      <c r="F520" s="56" t="s">
        <v>284</v>
      </c>
      <c r="G520" t="str">
        <f>_xlfn.XLOOKUP(Table4[[#This Row],[GZ]],'[1]BASE TRADE'!$R:$R,'[1]BASE TRADE'!$Q:$Q)</f>
        <v>4. Center</v>
      </c>
    </row>
    <row r="521" spans="1:7">
      <c r="A521" t="str">
        <f>B521&amp;Table4[[#This Row],[Tipo Servicio]]</f>
        <v>VDMINSTALACION - BARRIL</v>
      </c>
      <c r="B521" t="s">
        <v>96</v>
      </c>
      <c r="C521" t="s">
        <v>210</v>
      </c>
      <c r="D521" t="s">
        <v>45</v>
      </c>
      <c r="F521" s="56" t="s">
        <v>279</v>
      </c>
      <c r="G521" t="str">
        <f>_xlfn.XLOOKUP(Table4[[#This Row],[GZ]],'[1]BASE TRADE'!$R:$R,'[1]BASE TRADE'!$Q:$Q)</f>
        <v>4. Center</v>
      </c>
    </row>
    <row r="522" spans="1:7">
      <c r="A522" t="str">
        <f>B522&amp;Table4[[#This Row],[Tipo Servicio]]</f>
        <v>VDMINSTALACION - CUARTO FRIO</v>
      </c>
      <c r="B522" t="s">
        <v>96</v>
      </c>
      <c r="C522" t="s">
        <v>210</v>
      </c>
      <c r="D522" t="s">
        <v>45</v>
      </c>
      <c r="F522" s="56" t="s">
        <v>282</v>
      </c>
      <c r="G522" t="str">
        <f>_xlfn.XLOOKUP(Table4[[#This Row],[GZ]],'[1]BASE TRADE'!$R:$R,'[1]BASE TRADE'!$Q:$Q)</f>
        <v>4. Center</v>
      </c>
    </row>
    <row r="523" spans="1:7">
      <c r="A523" t="str">
        <f>B523&amp;Table4[[#This Row],[Tipo Servicio]]</f>
        <v>VDMRETIRO - ENFRIADOR</v>
      </c>
      <c r="B523" t="s">
        <v>96</v>
      </c>
      <c r="C523" t="s">
        <v>210</v>
      </c>
      <c r="D523" t="s">
        <v>45</v>
      </c>
      <c r="F523" s="56" t="s">
        <v>273</v>
      </c>
      <c r="G523" t="str">
        <f>_xlfn.XLOOKUP(Table4[[#This Row],[GZ]],'[1]BASE TRADE'!$R:$R,'[1]BASE TRADE'!$Q:$Q)</f>
        <v>4. Center</v>
      </c>
    </row>
    <row r="524" spans="1:7">
      <c r="A524" t="str">
        <f>B524&amp;Table4[[#This Row],[Tipo Servicio]]</f>
        <v>VDMRETIRO - MAQUINA HIELO</v>
      </c>
      <c r="B524" t="s">
        <v>96</v>
      </c>
      <c r="C524" t="s">
        <v>210</v>
      </c>
      <c r="D524" t="s">
        <v>45</v>
      </c>
      <c r="F524" s="56" t="s">
        <v>285</v>
      </c>
      <c r="G524" t="str">
        <f>_xlfn.XLOOKUP(Table4[[#This Row],[GZ]],'[1]BASE TRADE'!$R:$R,'[1]BASE TRADE'!$Q:$Q)</f>
        <v>4. Center</v>
      </c>
    </row>
    <row r="525" spans="1:7">
      <c r="A525" t="str">
        <f>B525&amp;Table4[[#This Row],[Tipo Servicio]]</f>
        <v>VDMRETIRO - BARRIL</v>
      </c>
      <c r="B525" t="s">
        <v>96</v>
      </c>
      <c r="C525" t="s">
        <v>210</v>
      </c>
      <c r="D525" t="s">
        <v>45</v>
      </c>
      <c r="F525" s="56" t="s">
        <v>280</v>
      </c>
      <c r="G525" t="str">
        <f>_xlfn.XLOOKUP(Table4[[#This Row],[GZ]],'[1]BASE TRADE'!$R:$R,'[1]BASE TRADE'!$Q:$Q)</f>
        <v>4. Center</v>
      </c>
    </row>
    <row r="526" spans="1:7">
      <c r="A526" t="str">
        <f>B526&amp;Table4[[#This Row],[Tipo Servicio]]</f>
        <v>VDMRETIRO - CUARTO FRIO</v>
      </c>
      <c r="B526" t="s">
        <v>96</v>
      </c>
      <c r="C526" t="s">
        <v>210</v>
      </c>
      <c r="D526" t="s">
        <v>45</v>
      </c>
      <c r="F526" s="56" t="s">
        <v>283</v>
      </c>
      <c r="G526" t="str">
        <f>_xlfn.XLOOKUP(Table4[[#This Row],[GZ]],'[1]BASE TRADE'!$R:$R,'[1]BASE TRADE'!$Q:$Q)</f>
        <v>4. Center</v>
      </c>
    </row>
    <row r="527" spans="1:7">
      <c r="A527" t="str">
        <f>B527&amp;Table4[[#This Row],[Tipo Servicio]]</f>
        <v>VDMPRIMERA POSICION - ENFRIADOR</v>
      </c>
      <c r="B527" t="s">
        <v>96</v>
      </c>
      <c r="C527" t="s">
        <v>210</v>
      </c>
      <c r="D527" t="s">
        <v>45</v>
      </c>
      <c r="F527" s="56" t="s">
        <v>274</v>
      </c>
      <c r="G527" t="str">
        <f>_xlfn.XLOOKUP(Table4[[#This Row],[GZ]],'[1]BASE TRADE'!$R:$R,'[1]BASE TRADE'!$Q:$Q)</f>
        <v>4. Center</v>
      </c>
    </row>
    <row r="528" spans="1:7">
      <c r="A528" t="str">
        <f>B528&amp;Table4[[#This Row],[Tipo Servicio]]</f>
        <v>VDMMTTO CORRECTIVO PISO - BARRIL</v>
      </c>
      <c r="B528" t="s">
        <v>96</v>
      </c>
      <c r="C528" t="s">
        <v>212</v>
      </c>
      <c r="D528" t="s">
        <v>47</v>
      </c>
      <c r="F528" s="56" t="s">
        <v>276</v>
      </c>
      <c r="G528" t="str">
        <f>_xlfn.XLOOKUP(Table4[[#This Row],[GZ]],'[1]BASE TRADE'!$R:$R,'[1]BASE TRADE'!$Q:$Q)</f>
        <v>4. Center</v>
      </c>
    </row>
    <row r="529" spans="1:7">
      <c r="A529" t="str">
        <f>B529&amp;Table4[[#This Row],[Tipo Servicio]]</f>
        <v>VDMMTTO PREVENTIVO RUTA - BARRIL</v>
      </c>
      <c r="B529" t="s">
        <v>96</v>
      </c>
      <c r="C529" t="s">
        <v>212</v>
      </c>
      <c r="D529" t="s">
        <v>47</v>
      </c>
      <c r="F529" s="56" t="s">
        <v>277</v>
      </c>
      <c r="G529" t="str">
        <f>_xlfn.XLOOKUP(Table4[[#This Row],[GZ]],'[1]BASE TRADE'!$R:$R,'[1]BASE TRADE'!$Q:$Q)</f>
        <v>4. Center</v>
      </c>
    </row>
    <row r="530" spans="1:7">
      <c r="A530" t="str">
        <f>B530&amp;Table4[[#This Row],[Tipo Servicio]]</f>
        <v>VDMRECARGA CO2 - BARRIL</v>
      </c>
      <c r="B530" t="s">
        <v>96</v>
      </c>
      <c r="C530" t="s">
        <v>212</v>
      </c>
      <c r="D530" t="s">
        <v>47</v>
      </c>
      <c r="F530" s="56" t="s">
        <v>278</v>
      </c>
      <c r="G530" t="str">
        <f>_xlfn.XLOOKUP(Table4[[#This Row],[GZ]],'[1]BASE TRADE'!$R:$R,'[1]BASE TRADE'!$Q:$Q)</f>
        <v>4. Center</v>
      </c>
    </row>
    <row r="531" spans="1:7">
      <c r="A531" t="str">
        <f>B531&amp;Table4[[#This Row],[Tipo Servicio]]</f>
        <v>VDMREFACCIONES - BARRIL</v>
      </c>
      <c r="B531" t="s">
        <v>96</v>
      </c>
      <c r="C531" t="s">
        <v>212</v>
      </c>
      <c r="D531" t="s">
        <v>47</v>
      </c>
      <c r="F531" s="56" t="s">
        <v>102</v>
      </c>
      <c r="G531" t="str">
        <f>_xlfn.XLOOKUP(Table4[[#This Row],[GZ]],'[1]BASE TRADE'!$R:$R,'[1]BASE TRADE'!$Q:$Q)</f>
        <v>4. Center</v>
      </c>
    </row>
    <row r="532" spans="1:7">
      <c r="A532" t="str">
        <f>B532&amp;Table4[[#This Row],[Tipo Servicio]]</f>
        <v>VDMSERVICIO EXPRESS PISO - ENFRIADOR</v>
      </c>
      <c r="B532" t="s">
        <v>96</v>
      </c>
      <c r="C532" t="s">
        <v>213</v>
      </c>
      <c r="D532" t="s">
        <v>132</v>
      </c>
      <c r="F532" s="56" t="s">
        <v>275</v>
      </c>
      <c r="G532" t="str">
        <f>_xlfn.XLOOKUP(Table4[[#This Row],[GZ]],'[1]BASE TRADE'!$R:$R,'[1]BASE TRADE'!$Q:$Q)</f>
        <v>4. Center</v>
      </c>
    </row>
    <row r="533" spans="1:7">
      <c r="A533" t="str">
        <f>B533&amp;Table4[[#This Row],[Tipo Servicio]]</f>
        <v>VDMREFACCIONES - ENFRIADOR</v>
      </c>
      <c r="B533" t="s">
        <v>96</v>
      </c>
      <c r="C533" t="s">
        <v>213</v>
      </c>
      <c r="D533" t="s">
        <v>132</v>
      </c>
      <c r="F533" s="56" t="s">
        <v>41</v>
      </c>
      <c r="G533" t="str">
        <f>_xlfn.XLOOKUP(Table4[[#This Row],[GZ]],'[1]BASE TRADE'!$R:$R,'[1]BASE TRADE'!$Q:$Q)</f>
        <v>4. Center</v>
      </c>
    </row>
    <row r="534" spans="1:7">
      <c r="A534" t="str">
        <f>B534&amp;Table4[[#This Row],[Tipo Servicio]]</f>
        <v>TAMAULIPAS SUR-VER NTEINSTALACION - MAQUINA HIELO</v>
      </c>
      <c r="B534" t="s">
        <v>6</v>
      </c>
      <c r="C534" t="s">
        <v>44</v>
      </c>
      <c r="D534" t="s">
        <v>45</v>
      </c>
      <c r="F534" s="56" t="s">
        <v>284</v>
      </c>
      <c r="G534" t="e">
        <f>_xlfn.XLOOKUP(Table4[[#This Row],[GZ]],'[1]BASE TRADE'!$R:$R,'[1]BASE TRADE'!$Q:$Q)</f>
        <v>#N/A</v>
      </c>
    </row>
    <row r="535" spans="1:7">
      <c r="A535" t="str">
        <f>B535&amp;Table4[[#This Row],[Tipo Servicio]]</f>
        <v>TAMAULIPAS SUR-VER NTEINSTALACION - BARRIL</v>
      </c>
      <c r="B535" t="s">
        <v>6</v>
      </c>
      <c r="C535" t="s">
        <v>44</v>
      </c>
      <c r="D535" t="s">
        <v>45</v>
      </c>
      <c r="F535" s="56" t="s">
        <v>279</v>
      </c>
      <c r="G535" t="e">
        <f>_xlfn.XLOOKUP(Table4[[#This Row],[GZ]],'[1]BASE TRADE'!$R:$R,'[1]BASE TRADE'!$Q:$Q)</f>
        <v>#N/A</v>
      </c>
    </row>
    <row r="536" spans="1:7">
      <c r="A536" t="str">
        <f>B536&amp;Table4[[#This Row],[Tipo Servicio]]</f>
        <v>TAMAULIPAS SUR-VER NTEINSTALACION - CUARTO FRIO</v>
      </c>
      <c r="B536" t="s">
        <v>6</v>
      </c>
      <c r="C536" t="s">
        <v>44</v>
      </c>
      <c r="D536" t="s">
        <v>45</v>
      </c>
      <c r="F536" s="56" t="s">
        <v>282</v>
      </c>
      <c r="G536" t="e">
        <f>_xlfn.XLOOKUP(Table4[[#This Row],[GZ]],'[1]BASE TRADE'!$R:$R,'[1]BASE TRADE'!$Q:$Q)</f>
        <v>#N/A</v>
      </c>
    </row>
    <row r="537" spans="1:7">
      <c r="A537" t="str">
        <f>B537&amp;Table4[[#This Row],[Tipo Servicio]]</f>
        <v>TAMAULIPAS SUR-VER NTERETIRO - ENFRIADOR</v>
      </c>
      <c r="B537" t="s">
        <v>6</v>
      </c>
      <c r="C537" t="s">
        <v>44</v>
      </c>
      <c r="D537" t="s">
        <v>45</v>
      </c>
      <c r="F537" s="56" t="s">
        <v>273</v>
      </c>
      <c r="G537" t="e">
        <f>_xlfn.XLOOKUP(Table4[[#This Row],[GZ]],'[1]BASE TRADE'!$R:$R,'[1]BASE TRADE'!$Q:$Q)</f>
        <v>#N/A</v>
      </c>
    </row>
    <row r="538" spans="1:7">
      <c r="A538" t="str">
        <f>B538&amp;Table4[[#This Row],[Tipo Servicio]]</f>
        <v>TAMAULIPAS SUR-VER NTERETIRO - MAQUINA HIELO</v>
      </c>
      <c r="B538" t="s">
        <v>6</v>
      </c>
      <c r="C538" t="s">
        <v>44</v>
      </c>
      <c r="D538" t="s">
        <v>45</v>
      </c>
      <c r="F538" s="56" t="s">
        <v>285</v>
      </c>
      <c r="G538" t="e">
        <f>_xlfn.XLOOKUP(Table4[[#This Row],[GZ]],'[1]BASE TRADE'!$R:$R,'[1]BASE TRADE'!$Q:$Q)</f>
        <v>#N/A</v>
      </c>
    </row>
    <row r="539" spans="1:7">
      <c r="A539" t="str">
        <f>B539&amp;Table4[[#This Row],[Tipo Servicio]]</f>
        <v>TAMAULIPAS SUR-VER NTERETIRO - BARRIL</v>
      </c>
      <c r="B539" t="s">
        <v>6</v>
      </c>
      <c r="C539" t="s">
        <v>44</v>
      </c>
      <c r="D539" t="s">
        <v>45</v>
      </c>
      <c r="F539" s="56" t="s">
        <v>280</v>
      </c>
      <c r="G539" t="e">
        <f>_xlfn.XLOOKUP(Table4[[#This Row],[GZ]],'[1]BASE TRADE'!$R:$R,'[1]BASE TRADE'!$Q:$Q)</f>
        <v>#N/A</v>
      </c>
    </row>
    <row r="540" spans="1:7">
      <c r="A540" t="str">
        <f>B540&amp;Table4[[#This Row],[Tipo Servicio]]</f>
        <v>TAMAULIPAS SUR-VER NTERETIRO - CUARTO FRIO</v>
      </c>
      <c r="B540" t="s">
        <v>6</v>
      </c>
      <c r="C540" t="s">
        <v>44</v>
      </c>
      <c r="D540" t="s">
        <v>45</v>
      </c>
      <c r="F540" s="56" t="s">
        <v>283</v>
      </c>
      <c r="G540" t="e">
        <f>_xlfn.XLOOKUP(Table4[[#This Row],[GZ]],'[1]BASE TRADE'!$R:$R,'[1]BASE TRADE'!$Q:$Q)</f>
        <v>#N/A</v>
      </c>
    </row>
    <row r="541" spans="1:7">
      <c r="A541" t="str">
        <f>B541&amp;Table4[[#This Row],[Tipo Servicio]]</f>
        <v>TAMAULIPAS SUR-VER NTEPRIMERA POSICION - ENFRIADOR</v>
      </c>
      <c r="B541" t="s">
        <v>6</v>
      </c>
      <c r="C541" t="s">
        <v>44</v>
      </c>
      <c r="D541" t="s">
        <v>45</v>
      </c>
      <c r="F541" s="56" t="s">
        <v>274</v>
      </c>
      <c r="G541" t="e">
        <f>_xlfn.XLOOKUP(Table4[[#This Row],[GZ]],'[1]BASE TRADE'!$R:$R,'[1]BASE TRADE'!$Q:$Q)</f>
        <v>#N/A</v>
      </c>
    </row>
    <row r="542" spans="1:7">
      <c r="A542" t="str">
        <f>B542&amp;Table4[[#This Row],[Tipo Servicio]]</f>
        <v>TAMAULIPAS SUR-VER NTEMTTO CORRECTIVO PISO - BARRIL</v>
      </c>
      <c r="B542" t="s">
        <v>6</v>
      </c>
      <c r="C542" t="s">
        <v>46</v>
      </c>
      <c r="D542" t="s">
        <v>47</v>
      </c>
      <c r="F542" s="56" t="s">
        <v>276</v>
      </c>
      <c r="G542" t="e">
        <f>_xlfn.XLOOKUP(Table4[[#This Row],[GZ]],'[1]BASE TRADE'!$R:$R,'[1]BASE TRADE'!$Q:$Q)</f>
        <v>#N/A</v>
      </c>
    </row>
    <row r="543" spans="1:7">
      <c r="A543" t="str">
        <f>B543&amp;Table4[[#This Row],[Tipo Servicio]]</f>
        <v>TAMAULIPAS SUR-VER NTEMTTO PREVENTIVO RUTA - BARRIL</v>
      </c>
      <c r="B543" t="s">
        <v>6</v>
      </c>
      <c r="C543" t="s">
        <v>46</v>
      </c>
      <c r="D543" t="s">
        <v>47</v>
      </c>
      <c r="F543" s="56" t="s">
        <v>277</v>
      </c>
      <c r="G543" t="e">
        <f>_xlfn.XLOOKUP(Table4[[#This Row],[GZ]],'[1]BASE TRADE'!$R:$R,'[1]BASE TRADE'!$Q:$Q)</f>
        <v>#N/A</v>
      </c>
    </row>
    <row r="544" spans="1:7">
      <c r="A544" t="str">
        <f>B544&amp;Table4[[#This Row],[Tipo Servicio]]</f>
        <v>TAMAULIPAS SUR-VER NTERECARGA CO2 - BARRIL</v>
      </c>
      <c r="B544" t="s">
        <v>6</v>
      </c>
      <c r="C544" t="s">
        <v>46</v>
      </c>
      <c r="D544" t="s">
        <v>47</v>
      </c>
      <c r="F544" s="56" t="s">
        <v>278</v>
      </c>
      <c r="G544" t="e">
        <f>_xlfn.XLOOKUP(Table4[[#This Row],[GZ]],'[1]BASE TRADE'!$R:$R,'[1]BASE TRADE'!$Q:$Q)</f>
        <v>#N/A</v>
      </c>
    </row>
    <row r="545" spans="1:7">
      <c r="A545" t="str">
        <f>B545&amp;Table4[[#This Row],[Tipo Servicio]]</f>
        <v>TAMAULIPAS SUR-VER NTEREFACCIONES - BARRIL</v>
      </c>
      <c r="B545" t="s">
        <v>6</v>
      </c>
      <c r="C545" t="s">
        <v>46</v>
      </c>
      <c r="D545" t="s">
        <v>47</v>
      </c>
      <c r="F545" s="56" t="s">
        <v>102</v>
      </c>
      <c r="G545" t="e">
        <f>_xlfn.XLOOKUP(Table4[[#This Row],[GZ]],'[1]BASE TRADE'!$R:$R,'[1]BASE TRADE'!$Q:$Q)</f>
        <v>#N/A</v>
      </c>
    </row>
    <row r="546" spans="1:7">
      <c r="A546" t="str">
        <f>B546&amp;Table4[[#This Row],[Tipo Servicio]]</f>
        <v>TAMAULIPAS SUR-VER NTESERVICIO EXPRESS PISO - ENFRIADOR</v>
      </c>
      <c r="B546" t="s">
        <v>6</v>
      </c>
      <c r="C546" t="s">
        <v>238</v>
      </c>
      <c r="D546" t="s">
        <v>132</v>
      </c>
      <c r="F546" s="56" t="s">
        <v>275</v>
      </c>
      <c r="G546" t="e">
        <f>_xlfn.XLOOKUP(Table4[[#This Row],[GZ]],'[1]BASE TRADE'!$R:$R,'[1]BASE TRADE'!$Q:$Q)</f>
        <v>#N/A</v>
      </c>
    </row>
    <row r="547" spans="1:7">
      <c r="A547" t="str">
        <f>B547&amp;Table4[[#This Row],[Tipo Servicio]]</f>
        <v>TAMAULIPAS SUR-VER NTEREFACCIONES - ENFRIADOR</v>
      </c>
      <c r="B547" t="s">
        <v>6</v>
      </c>
      <c r="C547" t="s">
        <v>238</v>
      </c>
      <c r="D547" t="s">
        <v>132</v>
      </c>
      <c r="F547" s="56" t="s">
        <v>41</v>
      </c>
      <c r="G547" t="e">
        <f>_xlfn.XLOOKUP(Table4[[#This Row],[GZ]],'[1]BASE TRADE'!$R:$R,'[1]BASE TRADE'!$Q:$Q)</f>
        <v>#N/A</v>
      </c>
    </row>
    <row r="548" spans="1:7">
      <c r="A548" t="str">
        <f>B548&amp;Table4[[#This Row],[Tipo Servicio]]</f>
        <v>TAMAULIPAS SUR-VER NTEMTTO CORRECTIVO PISO - MAQUINA HIELO</v>
      </c>
      <c r="B548" t="s">
        <v>6</v>
      </c>
      <c r="C548" t="s">
        <v>237</v>
      </c>
      <c r="D548" t="s">
        <v>128</v>
      </c>
      <c r="F548" s="56" t="s">
        <v>286</v>
      </c>
      <c r="G548" t="e">
        <f>_xlfn.XLOOKUP(Table4[[#This Row],[GZ]],'[1]BASE TRADE'!$R:$R,'[1]BASE TRADE'!$Q:$Q)</f>
        <v>#N/A</v>
      </c>
    </row>
    <row r="549" spans="1:7">
      <c r="A549" t="str">
        <f>B549&amp;Table4[[#This Row],[Tipo Servicio]]</f>
        <v>TAMAULIPAS SUR-VER NTEMTTO PREVENTIVO RUTA - MAQUINA HIELO</v>
      </c>
      <c r="B549" t="s">
        <v>6</v>
      </c>
      <c r="C549" t="s">
        <v>237</v>
      </c>
      <c r="D549" t="s">
        <v>128</v>
      </c>
      <c r="F549" s="56" t="s">
        <v>287</v>
      </c>
      <c r="G549" t="e">
        <f>_xlfn.XLOOKUP(Table4[[#This Row],[GZ]],'[1]BASE TRADE'!$R:$R,'[1]BASE TRADE'!$Q:$Q)</f>
        <v>#N/A</v>
      </c>
    </row>
    <row r="550" spans="1:7">
      <c r="A550" t="str">
        <f>B550&amp;Table4[[#This Row],[Tipo Servicio]]</f>
        <v>TAMAULIPAS SUR-VER NTEREFACCIONES - MAQUINA HIELO</v>
      </c>
      <c r="B550" t="s">
        <v>6</v>
      </c>
      <c r="C550" t="s">
        <v>237</v>
      </c>
      <c r="D550" t="s">
        <v>128</v>
      </c>
      <c r="F550" s="56" t="s">
        <v>39</v>
      </c>
      <c r="G550" t="e">
        <f>_xlfn.XLOOKUP(Table4[[#This Row],[GZ]],'[1]BASE TRADE'!$R:$R,'[1]BASE TRADE'!$Q:$Q)</f>
        <v>#N/A</v>
      </c>
    </row>
    <row r="551" spans="1:7">
      <c r="A551" t="str">
        <f>B551&amp;Table4[[#This Row],[Tipo Servicio]]</f>
        <v>TAMAULIPAS NORTEINSTALACION - MAQUINA HIELO</v>
      </c>
      <c r="B551" t="s">
        <v>94</v>
      </c>
      <c r="C551" t="s">
        <v>245</v>
      </c>
      <c r="D551" t="s">
        <v>45</v>
      </c>
      <c r="F551" s="56" t="s">
        <v>284</v>
      </c>
      <c r="G551" t="s">
        <v>240</v>
      </c>
    </row>
    <row r="552" spans="1:7">
      <c r="A552" t="str">
        <f>B552&amp;Table4[[#This Row],[Tipo Servicio]]</f>
        <v>TAMAULIPAS NORTEINSTALACION - BARRIL</v>
      </c>
      <c r="B552" t="s">
        <v>94</v>
      </c>
      <c r="C552" t="s">
        <v>245</v>
      </c>
      <c r="D552" t="s">
        <v>45</v>
      </c>
      <c r="F552" s="56" t="s">
        <v>279</v>
      </c>
      <c r="G552" t="s">
        <v>240</v>
      </c>
    </row>
    <row r="553" spans="1:7">
      <c r="A553" t="str">
        <f>B553&amp;Table4[[#This Row],[Tipo Servicio]]</f>
        <v>TAMAULIPAS NORTEINSTALACION - CUARTO FRIO</v>
      </c>
      <c r="B553" t="s">
        <v>94</v>
      </c>
      <c r="C553" t="s">
        <v>245</v>
      </c>
      <c r="D553" t="s">
        <v>45</v>
      </c>
      <c r="F553" s="56" t="s">
        <v>282</v>
      </c>
      <c r="G553" t="s">
        <v>240</v>
      </c>
    </row>
    <row r="554" spans="1:7">
      <c r="A554" t="str">
        <f>B554&amp;Table4[[#This Row],[Tipo Servicio]]</f>
        <v>TAMAULIPAS NORTERETIRO - ENFRIADOR</v>
      </c>
      <c r="B554" t="s">
        <v>94</v>
      </c>
      <c r="C554" t="s">
        <v>245</v>
      </c>
      <c r="D554" t="s">
        <v>45</v>
      </c>
      <c r="F554" s="56" t="s">
        <v>273</v>
      </c>
      <c r="G554" t="s">
        <v>240</v>
      </c>
    </row>
    <row r="555" spans="1:7">
      <c r="A555" t="str">
        <f>B555&amp;Table4[[#This Row],[Tipo Servicio]]</f>
        <v>TAMAULIPAS NORTERETIRO - MAQUINA HIELO</v>
      </c>
      <c r="B555" t="s">
        <v>94</v>
      </c>
      <c r="C555" t="s">
        <v>245</v>
      </c>
      <c r="D555" t="s">
        <v>45</v>
      </c>
      <c r="F555" s="56" t="s">
        <v>285</v>
      </c>
      <c r="G555" t="s">
        <v>240</v>
      </c>
    </row>
    <row r="556" spans="1:7">
      <c r="A556" t="str">
        <f>B556&amp;Table4[[#This Row],[Tipo Servicio]]</f>
        <v>TAMAULIPAS NORTERETIRO - BARRIL</v>
      </c>
      <c r="B556" t="s">
        <v>94</v>
      </c>
      <c r="C556" t="s">
        <v>245</v>
      </c>
      <c r="D556" t="s">
        <v>45</v>
      </c>
      <c r="F556" s="56" t="s">
        <v>280</v>
      </c>
      <c r="G556" t="s">
        <v>240</v>
      </c>
    </row>
    <row r="557" spans="1:7">
      <c r="A557" t="str">
        <f>B557&amp;Table4[[#This Row],[Tipo Servicio]]</f>
        <v>TAMAULIPAS NORTERETIRO - CUARTO FRIO</v>
      </c>
      <c r="B557" t="s">
        <v>94</v>
      </c>
      <c r="C557" t="s">
        <v>245</v>
      </c>
      <c r="D557" t="s">
        <v>45</v>
      </c>
      <c r="F557" s="56" t="s">
        <v>283</v>
      </c>
      <c r="G557" t="s">
        <v>240</v>
      </c>
    </row>
    <row r="558" spans="1:7">
      <c r="A558" t="str">
        <f>B558&amp;Table4[[#This Row],[Tipo Servicio]]</f>
        <v>TAMAULIPAS NORTEPRIMERA POSICION - ENFRIADOR</v>
      </c>
      <c r="B558" t="s">
        <v>94</v>
      </c>
      <c r="C558" t="s">
        <v>245</v>
      </c>
      <c r="D558" t="s">
        <v>45</v>
      </c>
      <c r="F558" s="56" t="s">
        <v>274</v>
      </c>
      <c r="G558" t="s">
        <v>240</v>
      </c>
    </row>
    <row r="559" spans="1:7">
      <c r="A559" t="str">
        <f>B559&amp;Table4[[#This Row],[Tipo Servicio]]</f>
        <v>TAMAULIPAS NORTEMTTO CORRECTIVO PISO - BARRIL</v>
      </c>
      <c r="B559" t="s">
        <v>94</v>
      </c>
      <c r="C559" t="s">
        <v>246</v>
      </c>
      <c r="D559" t="s">
        <v>47</v>
      </c>
      <c r="F559" s="56" t="s">
        <v>276</v>
      </c>
      <c r="G559" t="s">
        <v>240</v>
      </c>
    </row>
    <row r="560" spans="1:7">
      <c r="A560" t="str">
        <f>B560&amp;Table4[[#This Row],[Tipo Servicio]]</f>
        <v>TAMAULIPAS NORTEMTTO PREVENTIVO RUTA - BARRIL</v>
      </c>
      <c r="B560" t="s">
        <v>94</v>
      </c>
      <c r="C560" t="s">
        <v>246</v>
      </c>
      <c r="D560" t="s">
        <v>47</v>
      </c>
      <c r="F560" s="56" t="s">
        <v>277</v>
      </c>
      <c r="G560" t="s">
        <v>240</v>
      </c>
    </row>
    <row r="561" spans="1:7">
      <c r="A561" t="str">
        <f>B561&amp;Table4[[#This Row],[Tipo Servicio]]</f>
        <v>TAMAULIPAS NORTERECARGA CO2 - BARRIL</v>
      </c>
      <c r="B561" t="s">
        <v>94</v>
      </c>
      <c r="C561" t="s">
        <v>246</v>
      </c>
      <c r="D561" t="s">
        <v>47</v>
      </c>
      <c r="F561" s="56" t="s">
        <v>278</v>
      </c>
      <c r="G561" t="s">
        <v>240</v>
      </c>
    </row>
    <row r="562" spans="1:7">
      <c r="A562" t="str">
        <f>B562&amp;Table4[[#This Row],[Tipo Servicio]]</f>
        <v>TAMAULIPAS NORTEREFACCIONES - BARRIL</v>
      </c>
      <c r="B562" t="s">
        <v>94</v>
      </c>
      <c r="C562" t="s">
        <v>246</v>
      </c>
      <c r="D562" t="s">
        <v>47</v>
      </c>
      <c r="F562" s="56" t="s">
        <v>102</v>
      </c>
      <c r="G562" t="s">
        <v>240</v>
      </c>
    </row>
    <row r="563" spans="1:7">
      <c r="A563" t="str">
        <f>B563&amp;Table4[[#This Row],[Tipo Servicio]]</f>
        <v>TAMAULIPAS NORTEMTTO PREVENTIVO RUTA - CUARTO FRIO</v>
      </c>
      <c r="B563" t="s">
        <v>94</v>
      </c>
      <c r="C563" t="s">
        <v>258</v>
      </c>
      <c r="D563" t="s">
        <v>142</v>
      </c>
      <c r="F563" s="56" t="s">
        <v>281</v>
      </c>
      <c r="G563" t="s">
        <v>240</v>
      </c>
    </row>
    <row r="564" spans="1:7">
      <c r="A564" t="str">
        <f>B564&amp;Table4[[#This Row],[Tipo Servicio]]</f>
        <v>TAMAULIPAS NORTEREFACCIONES - CUARTO FRIO</v>
      </c>
      <c r="B564" t="s">
        <v>94</v>
      </c>
      <c r="C564" t="s">
        <v>258</v>
      </c>
      <c r="D564" t="s">
        <v>142</v>
      </c>
      <c r="F564" s="56" t="s">
        <v>105</v>
      </c>
      <c r="G564" t="s">
        <v>240</v>
      </c>
    </row>
    <row r="565" spans="1:7">
      <c r="A565" t="str">
        <f>B565&amp;Table4[[#This Row],[Tipo Servicio]]</f>
        <v>TAMAULIPAS NORTESERVICIO EXPRESS PISO - ENFRIADOR</v>
      </c>
      <c r="B565" t="s">
        <v>94</v>
      </c>
      <c r="C565" t="s">
        <v>248</v>
      </c>
      <c r="D565" t="s">
        <v>132</v>
      </c>
      <c r="F565" s="56" t="s">
        <v>275</v>
      </c>
      <c r="G565" t="s">
        <v>240</v>
      </c>
    </row>
    <row r="566" spans="1:7">
      <c r="A566" t="str">
        <f>B566&amp;Table4[[#This Row],[Tipo Servicio]]</f>
        <v>TAMAULIPAS NORTEREFACCIONES - ENFRIADOR</v>
      </c>
      <c r="B566" t="s">
        <v>94</v>
      </c>
      <c r="C566" t="s">
        <v>248</v>
      </c>
      <c r="D566" t="s">
        <v>132</v>
      </c>
      <c r="F566" s="56" t="s">
        <v>41</v>
      </c>
      <c r="G566" t="s">
        <v>240</v>
      </c>
    </row>
    <row r="567" spans="1:7">
      <c r="A567" t="str">
        <f>B567&amp;Table4[[#This Row],[Tipo Servicio]]</f>
        <v>TAMAULIPAS NORTEMTTO CORRECTIVO PISO - MAQUINA HIELO</v>
      </c>
      <c r="B567" t="s">
        <v>94</v>
      </c>
      <c r="C567" t="s">
        <v>247</v>
      </c>
      <c r="D567" t="s">
        <v>128</v>
      </c>
      <c r="F567" s="56" t="s">
        <v>286</v>
      </c>
      <c r="G567" t="s">
        <v>240</v>
      </c>
    </row>
    <row r="568" spans="1:7">
      <c r="A568" t="str">
        <f>B568&amp;Table4[[#This Row],[Tipo Servicio]]</f>
        <v>TAMAULIPAS NORTEMTTO PREVENTIVO RUTA - MAQUINA HIELO</v>
      </c>
      <c r="B568" t="s">
        <v>94</v>
      </c>
      <c r="C568" t="s">
        <v>247</v>
      </c>
      <c r="D568" t="s">
        <v>128</v>
      </c>
      <c r="F568" s="56" t="s">
        <v>287</v>
      </c>
      <c r="G568" t="s">
        <v>240</v>
      </c>
    </row>
    <row r="569" spans="1:7">
      <c r="A569" t="str">
        <f>B569&amp;Table4[[#This Row],[Tipo Servicio]]</f>
        <v>TAMAULIPAS NORTEREFACCIONES - MAQUINA HIELO</v>
      </c>
      <c r="B569" t="s">
        <v>94</v>
      </c>
      <c r="C569" t="s">
        <v>247</v>
      </c>
      <c r="D569" t="s">
        <v>128</v>
      </c>
      <c r="F569" s="56" t="s">
        <v>39</v>
      </c>
      <c r="G569" t="s">
        <v>240</v>
      </c>
    </row>
    <row r="570" spans="1:7">
      <c r="A570" t="str">
        <f>B570&amp;Table4[[#This Row],[Tipo Servicio]]</f>
        <v>TABASCO-VER SURINSTALACION - MAQUINA HIELO</v>
      </c>
      <c r="B570" t="s">
        <v>92</v>
      </c>
      <c r="C570" t="s">
        <v>199</v>
      </c>
      <c r="D570" t="s">
        <v>45</v>
      </c>
      <c r="F570" s="56" t="s">
        <v>284</v>
      </c>
      <c r="G570" t="s">
        <v>176</v>
      </c>
    </row>
    <row r="571" spans="1:7">
      <c r="A571" t="str">
        <f>B571&amp;Table4[[#This Row],[Tipo Servicio]]</f>
        <v>TABASCO-VER SURINSTALACION - BARRIL</v>
      </c>
      <c r="B571" t="s">
        <v>92</v>
      </c>
      <c r="C571" t="s">
        <v>199</v>
      </c>
      <c r="D571" t="s">
        <v>45</v>
      </c>
      <c r="F571" s="56" t="s">
        <v>279</v>
      </c>
      <c r="G571" t="s">
        <v>176</v>
      </c>
    </row>
    <row r="572" spans="1:7">
      <c r="A572" t="str">
        <f>B572&amp;Table4[[#This Row],[Tipo Servicio]]</f>
        <v>TABASCO-VER SURINSTALACION - CUARTO FRIO</v>
      </c>
      <c r="B572" t="s">
        <v>92</v>
      </c>
      <c r="C572" t="s">
        <v>199</v>
      </c>
      <c r="D572" t="s">
        <v>45</v>
      </c>
      <c r="F572" s="56" t="s">
        <v>282</v>
      </c>
      <c r="G572" t="s">
        <v>176</v>
      </c>
    </row>
    <row r="573" spans="1:7">
      <c r="A573" t="str">
        <f>B573&amp;Table4[[#This Row],[Tipo Servicio]]</f>
        <v>TABASCO-VER SURRETIRO - ENFRIADOR</v>
      </c>
      <c r="B573" t="s">
        <v>92</v>
      </c>
      <c r="C573" t="s">
        <v>199</v>
      </c>
      <c r="D573" t="s">
        <v>45</v>
      </c>
      <c r="F573" s="56" t="s">
        <v>273</v>
      </c>
      <c r="G573" t="s">
        <v>176</v>
      </c>
    </row>
    <row r="574" spans="1:7">
      <c r="A574" t="str">
        <f>B574&amp;Table4[[#This Row],[Tipo Servicio]]</f>
        <v>TABASCO-VER SURRETIRO - MAQUINA HIELO</v>
      </c>
      <c r="B574" t="s">
        <v>92</v>
      </c>
      <c r="C574" t="s">
        <v>199</v>
      </c>
      <c r="D574" t="s">
        <v>45</v>
      </c>
      <c r="F574" s="56" t="s">
        <v>285</v>
      </c>
      <c r="G574" t="s">
        <v>176</v>
      </c>
    </row>
    <row r="575" spans="1:7">
      <c r="A575" t="str">
        <f>B575&amp;Table4[[#This Row],[Tipo Servicio]]</f>
        <v>TABASCO-VER SURRETIRO - BARRIL</v>
      </c>
      <c r="B575" t="s">
        <v>92</v>
      </c>
      <c r="C575" t="s">
        <v>199</v>
      </c>
      <c r="D575" t="s">
        <v>45</v>
      </c>
      <c r="F575" s="56" t="s">
        <v>280</v>
      </c>
      <c r="G575" t="s">
        <v>176</v>
      </c>
    </row>
    <row r="576" spans="1:7">
      <c r="A576" t="str">
        <f>B576&amp;Table4[[#This Row],[Tipo Servicio]]</f>
        <v>TABASCO-VER SURRETIRO - CUARTO FRIO</v>
      </c>
      <c r="B576" t="s">
        <v>92</v>
      </c>
      <c r="C576" t="s">
        <v>199</v>
      </c>
      <c r="D576" t="s">
        <v>45</v>
      </c>
      <c r="F576" s="56" t="s">
        <v>283</v>
      </c>
      <c r="G576" t="s">
        <v>176</v>
      </c>
    </row>
    <row r="577" spans="1:7">
      <c r="A577" t="str">
        <f>B577&amp;Table4[[#This Row],[Tipo Servicio]]</f>
        <v>TABASCO-VER SURPRIMERA POSICION - ENFRIADOR</v>
      </c>
      <c r="B577" t="s">
        <v>92</v>
      </c>
      <c r="C577" t="s">
        <v>199</v>
      </c>
      <c r="D577" t="s">
        <v>45</v>
      </c>
      <c r="F577" s="56" t="s">
        <v>274</v>
      </c>
      <c r="G577" t="s">
        <v>176</v>
      </c>
    </row>
    <row r="578" spans="1:7">
      <c r="A578" t="str">
        <f>B578&amp;Table4[[#This Row],[Tipo Servicio]]</f>
        <v>TABASCO-VER SURMTTO CORRECTIVO PISO - BARRIL</v>
      </c>
      <c r="B578" t="s">
        <v>92</v>
      </c>
      <c r="C578" t="s">
        <v>197</v>
      </c>
      <c r="D578" t="s">
        <v>47</v>
      </c>
      <c r="F578" s="56" t="s">
        <v>276</v>
      </c>
      <c r="G578" t="s">
        <v>176</v>
      </c>
    </row>
    <row r="579" spans="1:7">
      <c r="A579" t="str">
        <f>B579&amp;Table4[[#This Row],[Tipo Servicio]]</f>
        <v>TABASCO-VER SURMTTO PREVENTIVO RUTA - BARRIL</v>
      </c>
      <c r="B579" t="s">
        <v>92</v>
      </c>
      <c r="C579" t="s">
        <v>197</v>
      </c>
      <c r="D579" t="s">
        <v>47</v>
      </c>
      <c r="F579" s="56" t="s">
        <v>277</v>
      </c>
      <c r="G579" t="s">
        <v>176</v>
      </c>
    </row>
    <row r="580" spans="1:7">
      <c r="A580" t="str">
        <f>B580&amp;Table4[[#This Row],[Tipo Servicio]]</f>
        <v>TABASCO-VER SURRECARGA CO2 - BARRIL</v>
      </c>
      <c r="B580" t="s">
        <v>92</v>
      </c>
      <c r="C580" t="s">
        <v>197</v>
      </c>
      <c r="D580" t="s">
        <v>47</v>
      </c>
      <c r="F580" s="56" t="s">
        <v>278</v>
      </c>
      <c r="G580" t="s">
        <v>176</v>
      </c>
    </row>
    <row r="581" spans="1:7">
      <c r="A581" t="str">
        <f>B581&amp;Table4[[#This Row],[Tipo Servicio]]</f>
        <v>TABASCO-VER SURREFACCIONES - BARRIL</v>
      </c>
      <c r="B581" t="s">
        <v>92</v>
      </c>
      <c r="C581" t="s">
        <v>197</v>
      </c>
      <c r="D581" t="s">
        <v>47</v>
      </c>
      <c r="F581" s="56" t="s">
        <v>102</v>
      </c>
      <c r="G581" t="s">
        <v>176</v>
      </c>
    </row>
    <row r="582" spans="1:7">
      <c r="A582" t="str">
        <f>B582&amp;Table4[[#This Row],[Tipo Servicio]]</f>
        <v>TABASCO-VER SURSERVICIO EXPRESS PISO - ENFRIADOR</v>
      </c>
      <c r="B582" t="s">
        <v>92</v>
      </c>
      <c r="C582" t="s">
        <v>198</v>
      </c>
      <c r="D582" t="s">
        <v>132</v>
      </c>
      <c r="F582" s="56" t="s">
        <v>275</v>
      </c>
      <c r="G582" t="s">
        <v>176</v>
      </c>
    </row>
    <row r="583" spans="1:7">
      <c r="A583" t="str">
        <f>B583&amp;Table4[[#This Row],[Tipo Servicio]]</f>
        <v>TABASCO-VER SURREFACCIONES - ENFRIADOR</v>
      </c>
      <c r="B583" t="s">
        <v>92</v>
      </c>
      <c r="C583" t="s">
        <v>198</v>
      </c>
      <c r="D583" t="s">
        <v>132</v>
      </c>
      <c r="F583" s="56" t="s">
        <v>41</v>
      </c>
      <c r="G583" t="s">
        <v>176</v>
      </c>
    </row>
    <row r="584" spans="1:7">
      <c r="A584" t="str">
        <f>B584&amp;Table4[[#This Row],[Tipo Servicio]]</f>
        <v>TABASCO-VER SURMTTO CORRECTIVO PISO - MAQUINA HIELO</v>
      </c>
      <c r="B584" t="s">
        <v>92</v>
      </c>
      <c r="C584" t="s">
        <v>264</v>
      </c>
      <c r="D584" t="s">
        <v>128</v>
      </c>
      <c r="F584" s="56" t="s">
        <v>286</v>
      </c>
      <c r="G584" t="s">
        <v>176</v>
      </c>
    </row>
    <row r="585" spans="1:7">
      <c r="A585" t="str">
        <f>B585&amp;Table4[[#This Row],[Tipo Servicio]]</f>
        <v>TABASCO-VER SURMTTO PREVENTIVO RUTA - MAQUINA HIELO</v>
      </c>
      <c r="B585" t="s">
        <v>92</v>
      </c>
      <c r="C585" t="s">
        <v>264</v>
      </c>
      <c r="D585" t="s">
        <v>128</v>
      </c>
      <c r="F585" s="56" t="s">
        <v>287</v>
      </c>
      <c r="G585" t="s">
        <v>176</v>
      </c>
    </row>
    <row r="586" spans="1:7">
      <c r="A586" t="str">
        <f>B586&amp;Table4[[#This Row],[Tipo Servicio]]</f>
        <v>TABASCO-VER SURREFACCIONES - MAQUINA HIELO</v>
      </c>
      <c r="B586" t="s">
        <v>92</v>
      </c>
      <c r="C586" t="s">
        <v>264</v>
      </c>
      <c r="D586" t="s">
        <v>128</v>
      </c>
      <c r="F586" s="56" t="s">
        <v>39</v>
      </c>
      <c r="G586" t="s">
        <v>176</v>
      </c>
    </row>
    <row r="587" spans="1:7">
      <c r="A587" t="str">
        <f>B587&amp;Table4[[#This Row],[Tipo Servicio]]</f>
        <v>SONORAINSTALACION - MAQUINA HIELO</v>
      </c>
      <c r="B587" t="s">
        <v>90</v>
      </c>
      <c r="C587" t="s">
        <v>152</v>
      </c>
      <c r="D587" t="s">
        <v>45</v>
      </c>
      <c r="F587" s="56" t="s">
        <v>284</v>
      </c>
      <c r="G587" t="str">
        <f>_xlfn.XLOOKUP(Table4[[#This Row],[GZ]],'[1]BASE TRADE'!$R:$R,'[1]BASE TRADE'!$Q:$Q)</f>
        <v>1. Northwest</v>
      </c>
    </row>
    <row r="588" spans="1:7">
      <c r="A588" t="str">
        <f>B588&amp;Table4[[#This Row],[Tipo Servicio]]</f>
        <v>SONORAINSTALACION - BARRIL</v>
      </c>
      <c r="B588" t="s">
        <v>90</v>
      </c>
      <c r="C588" t="s">
        <v>152</v>
      </c>
      <c r="D588" t="s">
        <v>45</v>
      </c>
      <c r="F588" s="56" t="s">
        <v>279</v>
      </c>
      <c r="G588" t="str">
        <f>_xlfn.XLOOKUP(Table4[[#This Row],[GZ]],'[1]BASE TRADE'!$R:$R,'[1]BASE TRADE'!$Q:$Q)</f>
        <v>1. Northwest</v>
      </c>
    </row>
    <row r="589" spans="1:7">
      <c r="A589" t="str">
        <f>B589&amp;Table4[[#This Row],[Tipo Servicio]]</f>
        <v>SONORAINSTALACION - CUARTO FRIO</v>
      </c>
      <c r="B589" t="s">
        <v>90</v>
      </c>
      <c r="C589" t="s">
        <v>152</v>
      </c>
      <c r="D589" t="s">
        <v>45</v>
      </c>
      <c r="F589" s="56" t="s">
        <v>282</v>
      </c>
      <c r="G589" t="str">
        <f>_xlfn.XLOOKUP(Table4[[#This Row],[GZ]],'[1]BASE TRADE'!$R:$R,'[1]BASE TRADE'!$Q:$Q)</f>
        <v>1. Northwest</v>
      </c>
    </row>
    <row r="590" spans="1:7">
      <c r="A590" t="str">
        <f>B590&amp;Table4[[#This Row],[Tipo Servicio]]</f>
        <v>SONORARETIRO - ENFRIADOR</v>
      </c>
      <c r="B590" t="s">
        <v>90</v>
      </c>
      <c r="C590" t="s">
        <v>152</v>
      </c>
      <c r="D590" t="s">
        <v>45</v>
      </c>
      <c r="F590" s="56" t="s">
        <v>273</v>
      </c>
      <c r="G590" t="str">
        <f>_xlfn.XLOOKUP(Table4[[#This Row],[GZ]],'[1]BASE TRADE'!$R:$R,'[1]BASE TRADE'!$Q:$Q)</f>
        <v>1. Northwest</v>
      </c>
    </row>
    <row r="591" spans="1:7">
      <c r="A591" t="str">
        <f>B591&amp;Table4[[#This Row],[Tipo Servicio]]</f>
        <v>SONORARETIRO - MAQUINA HIELO</v>
      </c>
      <c r="B591" t="s">
        <v>90</v>
      </c>
      <c r="C591" t="s">
        <v>152</v>
      </c>
      <c r="D591" t="s">
        <v>45</v>
      </c>
      <c r="F591" s="56" t="s">
        <v>285</v>
      </c>
      <c r="G591" t="str">
        <f>_xlfn.XLOOKUP(Table4[[#This Row],[GZ]],'[1]BASE TRADE'!$R:$R,'[1]BASE TRADE'!$Q:$Q)</f>
        <v>1. Northwest</v>
      </c>
    </row>
    <row r="592" spans="1:7">
      <c r="A592" t="str">
        <f>B592&amp;Table4[[#This Row],[Tipo Servicio]]</f>
        <v>SONORARETIRO - BARRIL</v>
      </c>
      <c r="B592" t="s">
        <v>90</v>
      </c>
      <c r="C592" t="s">
        <v>152</v>
      </c>
      <c r="D592" t="s">
        <v>45</v>
      </c>
      <c r="F592" s="56" t="s">
        <v>280</v>
      </c>
      <c r="G592" t="str">
        <f>_xlfn.XLOOKUP(Table4[[#This Row],[GZ]],'[1]BASE TRADE'!$R:$R,'[1]BASE TRADE'!$Q:$Q)</f>
        <v>1. Northwest</v>
      </c>
    </row>
    <row r="593" spans="1:7">
      <c r="A593" t="str">
        <f>B593&amp;Table4[[#This Row],[Tipo Servicio]]</f>
        <v>SONORARETIRO - CUARTO FRIO</v>
      </c>
      <c r="B593" t="s">
        <v>90</v>
      </c>
      <c r="C593" t="s">
        <v>152</v>
      </c>
      <c r="D593" t="s">
        <v>45</v>
      </c>
      <c r="F593" s="56" t="s">
        <v>283</v>
      </c>
      <c r="G593" t="str">
        <f>_xlfn.XLOOKUP(Table4[[#This Row],[GZ]],'[1]BASE TRADE'!$R:$R,'[1]BASE TRADE'!$Q:$Q)</f>
        <v>1. Northwest</v>
      </c>
    </row>
    <row r="594" spans="1:7">
      <c r="A594" t="str">
        <f>B594&amp;Table4[[#This Row],[Tipo Servicio]]</f>
        <v>SONORAPRIMERA POSICION - ENFRIADOR</v>
      </c>
      <c r="B594" t="s">
        <v>90</v>
      </c>
      <c r="C594" t="s">
        <v>152</v>
      </c>
      <c r="D594" t="s">
        <v>45</v>
      </c>
      <c r="F594" s="56" t="s">
        <v>274</v>
      </c>
      <c r="G594" t="str">
        <f>_xlfn.XLOOKUP(Table4[[#This Row],[GZ]],'[1]BASE TRADE'!$R:$R,'[1]BASE TRADE'!$Q:$Q)</f>
        <v>1. Northwest</v>
      </c>
    </row>
    <row r="595" spans="1:7">
      <c r="A595" t="str">
        <f>B595&amp;Table4[[#This Row],[Tipo Servicio]]</f>
        <v>SONORAMTTO CORRECTIVO PISO - BARRIL</v>
      </c>
      <c r="B595" t="s">
        <v>90</v>
      </c>
      <c r="C595" t="s">
        <v>154</v>
      </c>
      <c r="D595" t="s">
        <v>47</v>
      </c>
      <c r="F595" s="56" t="s">
        <v>276</v>
      </c>
      <c r="G595" t="str">
        <f>_xlfn.XLOOKUP(Table4[[#This Row],[GZ]],'[1]BASE TRADE'!$R:$R,'[1]BASE TRADE'!$Q:$Q)</f>
        <v>1. Northwest</v>
      </c>
    </row>
    <row r="596" spans="1:7">
      <c r="A596" t="str">
        <f>B596&amp;Table4[[#This Row],[Tipo Servicio]]</f>
        <v>SONORAMTTO PREVENTIVO RUTA - BARRIL</v>
      </c>
      <c r="B596" t="s">
        <v>90</v>
      </c>
      <c r="C596" t="s">
        <v>154</v>
      </c>
      <c r="D596" t="s">
        <v>47</v>
      </c>
      <c r="F596" s="56" t="s">
        <v>277</v>
      </c>
      <c r="G596" t="str">
        <f>_xlfn.XLOOKUP(Table4[[#This Row],[GZ]],'[1]BASE TRADE'!$R:$R,'[1]BASE TRADE'!$Q:$Q)</f>
        <v>1. Northwest</v>
      </c>
    </row>
    <row r="597" spans="1:7">
      <c r="A597" t="str">
        <f>B597&amp;Table4[[#This Row],[Tipo Servicio]]</f>
        <v>SONORARECARGA CO2 - BARRIL</v>
      </c>
      <c r="B597" t="s">
        <v>90</v>
      </c>
      <c r="C597" t="s">
        <v>154</v>
      </c>
      <c r="D597" t="s">
        <v>47</v>
      </c>
      <c r="F597" s="56" t="s">
        <v>278</v>
      </c>
      <c r="G597" t="str">
        <f>_xlfn.XLOOKUP(Table4[[#This Row],[GZ]],'[1]BASE TRADE'!$R:$R,'[1]BASE TRADE'!$Q:$Q)</f>
        <v>1. Northwest</v>
      </c>
    </row>
    <row r="598" spans="1:7">
      <c r="A598" t="str">
        <f>B598&amp;Table4[[#This Row],[Tipo Servicio]]</f>
        <v>SONORAREFACCIONES - BARRIL</v>
      </c>
      <c r="B598" t="s">
        <v>90</v>
      </c>
      <c r="C598" t="s">
        <v>154</v>
      </c>
      <c r="D598" t="s">
        <v>47</v>
      </c>
      <c r="F598" s="56" t="s">
        <v>102</v>
      </c>
      <c r="G598" t="str">
        <f>_xlfn.XLOOKUP(Table4[[#This Row],[GZ]],'[1]BASE TRADE'!$R:$R,'[1]BASE TRADE'!$Q:$Q)</f>
        <v>1. Northwest</v>
      </c>
    </row>
    <row r="599" spans="1:7">
      <c r="A599" t="str">
        <f>B599&amp;Table4[[#This Row],[Tipo Servicio]]</f>
        <v>SONORAMTTO PREVENTIVO RUTA - CUARTO FRIO</v>
      </c>
      <c r="B599" t="s">
        <v>90</v>
      </c>
      <c r="C599" t="s">
        <v>155</v>
      </c>
      <c r="D599" t="s">
        <v>142</v>
      </c>
      <c r="F599" s="56" t="s">
        <v>281</v>
      </c>
      <c r="G599" t="str">
        <f>_xlfn.XLOOKUP(Table4[[#This Row],[GZ]],'[1]BASE TRADE'!$R:$R,'[1]BASE TRADE'!$Q:$Q)</f>
        <v>1. Northwest</v>
      </c>
    </row>
    <row r="600" spans="1:7">
      <c r="A600" t="str">
        <f>B600&amp;Table4[[#This Row],[Tipo Servicio]]</f>
        <v>SONORAREFACCIONES - CUARTO FRIO</v>
      </c>
      <c r="B600" t="s">
        <v>90</v>
      </c>
      <c r="C600" t="s">
        <v>155</v>
      </c>
      <c r="D600" t="s">
        <v>142</v>
      </c>
      <c r="F600" s="56" t="s">
        <v>105</v>
      </c>
      <c r="G600" t="str">
        <f>_xlfn.XLOOKUP(Table4[[#This Row],[GZ]],'[1]BASE TRADE'!$R:$R,'[1]BASE TRADE'!$Q:$Q)</f>
        <v>1. Northwest</v>
      </c>
    </row>
    <row r="601" spans="1:7">
      <c r="A601" t="str">
        <f>B601&amp;Table4[[#This Row],[Tipo Servicio]]</f>
        <v>SONORASERVICIO EXPRESS PISO - ENFRIADOR</v>
      </c>
      <c r="B601" t="s">
        <v>90</v>
      </c>
      <c r="C601" t="s">
        <v>157</v>
      </c>
      <c r="D601" t="s">
        <v>132</v>
      </c>
      <c r="F601" s="56" t="s">
        <v>275</v>
      </c>
      <c r="G601" t="str">
        <f>_xlfn.XLOOKUP(Table4[[#This Row],[GZ]],'[1]BASE TRADE'!$R:$R,'[1]BASE TRADE'!$Q:$Q)</f>
        <v>1. Northwest</v>
      </c>
    </row>
    <row r="602" spans="1:7">
      <c r="A602" t="str">
        <f>B602&amp;Table4[[#This Row],[Tipo Servicio]]</f>
        <v>SONORAREFACCIONES - ENFRIADOR</v>
      </c>
      <c r="B602" t="s">
        <v>90</v>
      </c>
      <c r="C602" t="s">
        <v>157</v>
      </c>
      <c r="D602" t="s">
        <v>132</v>
      </c>
      <c r="F602" s="56" t="s">
        <v>41</v>
      </c>
      <c r="G602" t="str">
        <f>_xlfn.XLOOKUP(Table4[[#This Row],[GZ]],'[1]BASE TRADE'!$R:$R,'[1]BASE TRADE'!$Q:$Q)</f>
        <v>1. Northwest</v>
      </c>
    </row>
    <row r="603" spans="1:7">
      <c r="A603" t="str">
        <f>B603&amp;Table4[[#This Row],[Tipo Servicio]]</f>
        <v>SONORAMTTO CORRECTIVO PISO - MAQUINA HIELO</v>
      </c>
      <c r="B603" t="s">
        <v>90</v>
      </c>
      <c r="C603" t="s">
        <v>156</v>
      </c>
      <c r="D603" t="s">
        <v>128</v>
      </c>
      <c r="F603" s="56" t="s">
        <v>286</v>
      </c>
      <c r="G603" t="str">
        <f>_xlfn.XLOOKUP(Table4[[#This Row],[GZ]],'[1]BASE TRADE'!$R:$R,'[1]BASE TRADE'!$Q:$Q)</f>
        <v>1. Northwest</v>
      </c>
    </row>
    <row r="604" spans="1:7">
      <c r="A604" t="str">
        <f>B604&amp;Table4[[#This Row],[Tipo Servicio]]</f>
        <v>SONORAMTTO PREVENTIVO RUTA - MAQUINA HIELO</v>
      </c>
      <c r="B604" t="s">
        <v>90</v>
      </c>
      <c r="C604" t="s">
        <v>156</v>
      </c>
      <c r="D604" t="s">
        <v>128</v>
      </c>
      <c r="F604" s="56" t="s">
        <v>287</v>
      </c>
      <c r="G604" t="str">
        <f>_xlfn.XLOOKUP(Table4[[#This Row],[GZ]],'[1]BASE TRADE'!$R:$R,'[1]BASE TRADE'!$Q:$Q)</f>
        <v>1. Northwest</v>
      </c>
    </row>
    <row r="605" spans="1:7">
      <c r="A605" t="str">
        <f>B605&amp;Table4[[#This Row],[Tipo Servicio]]</f>
        <v>SONORAREFACCIONES - MAQUINA HIELO</v>
      </c>
      <c r="B605" t="s">
        <v>90</v>
      </c>
      <c r="C605" t="s">
        <v>156</v>
      </c>
      <c r="D605" t="s">
        <v>128</v>
      </c>
      <c r="F605" s="56" t="s">
        <v>39</v>
      </c>
      <c r="G605" t="str">
        <f>_xlfn.XLOOKUP(Table4[[#This Row],[GZ]],'[1]BASE TRADE'!$R:$R,'[1]BASE TRADE'!$Q:$Q)</f>
        <v>1. Northwest</v>
      </c>
    </row>
    <row r="606" spans="1:7">
      <c r="A606" t="str">
        <f>B606&amp;Table4[[#This Row],[Tipo Servicio]]</f>
        <v>SINALOAINSTALACION - MAQUINA HIELO</v>
      </c>
      <c r="B606" t="s">
        <v>88</v>
      </c>
      <c r="C606" t="s">
        <v>164</v>
      </c>
      <c r="D606" t="s">
        <v>45</v>
      </c>
      <c r="F606" s="56" t="s">
        <v>284</v>
      </c>
      <c r="G606" t="str">
        <f>_xlfn.XLOOKUP(Table4[[#This Row],[GZ]],'[1]BASE TRADE'!$R:$R,'[1]BASE TRADE'!$Q:$Q)</f>
        <v>1. Northwest</v>
      </c>
    </row>
    <row r="607" spans="1:7">
      <c r="A607" t="str">
        <f>B607&amp;Table4[[#This Row],[Tipo Servicio]]</f>
        <v>SINALOAINSTALACION - BARRIL</v>
      </c>
      <c r="B607" t="s">
        <v>88</v>
      </c>
      <c r="C607" t="s">
        <v>164</v>
      </c>
      <c r="D607" t="s">
        <v>45</v>
      </c>
      <c r="F607" s="56" t="s">
        <v>279</v>
      </c>
      <c r="G607" t="str">
        <f>_xlfn.XLOOKUP(Table4[[#This Row],[GZ]],'[1]BASE TRADE'!$R:$R,'[1]BASE TRADE'!$Q:$Q)</f>
        <v>1. Northwest</v>
      </c>
    </row>
    <row r="608" spans="1:7">
      <c r="A608" t="str">
        <f>B608&amp;Table4[[#This Row],[Tipo Servicio]]</f>
        <v>SINALOAINSTALACION - CUARTO FRIO</v>
      </c>
      <c r="B608" t="s">
        <v>88</v>
      </c>
      <c r="C608" t="s">
        <v>164</v>
      </c>
      <c r="D608" t="s">
        <v>45</v>
      </c>
      <c r="F608" s="56" t="s">
        <v>282</v>
      </c>
      <c r="G608" t="str">
        <f>_xlfn.XLOOKUP(Table4[[#This Row],[GZ]],'[1]BASE TRADE'!$R:$R,'[1]BASE TRADE'!$Q:$Q)</f>
        <v>1. Northwest</v>
      </c>
    </row>
    <row r="609" spans="1:7">
      <c r="A609" t="str">
        <f>B609&amp;Table4[[#This Row],[Tipo Servicio]]</f>
        <v>SINALOARETIRO - ENFRIADOR</v>
      </c>
      <c r="B609" t="s">
        <v>88</v>
      </c>
      <c r="C609" t="s">
        <v>164</v>
      </c>
      <c r="D609" t="s">
        <v>45</v>
      </c>
      <c r="F609" s="56" t="s">
        <v>273</v>
      </c>
      <c r="G609" t="str">
        <f>_xlfn.XLOOKUP(Table4[[#This Row],[GZ]],'[1]BASE TRADE'!$R:$R,'[1]BASE TRADE'!$Q:$Q)</f>
        <v>1. Northwest</v>
      </c>
    </row>
    <row r="610" spans="1:7">
      <c r="A610" t="str">
        <f>B610&amp;Table4[[#This Row],[Tipo Servicio]]</f>
        <v>SINALOARETIRO - MAQUINA HIELO</v>
      </c>
      <c r="B610" t="s">
        <v>88</v>
      </c>
      <c r="C610" t="s">
        <v>164</v>
      </c>
      <c r="D610" t="s">
        <v>45</v>
      </c>
      <c r="F610" s="56" t="s">
        <v>285</v>
      </c>
      <c r="G610" t="str">
        <f>_xlfn.XLOOKUP(Table4[[#This Row],[GZ]],'[1]BASE TRADE'!$R:$R,'[1]BASE TRADE'!$Q:$Q)</f>
        <v>1. Northwest</v>
      </c>
    </row>
    <row r="611" spans="1:7">
      <c r="A611" t="str">
        <f>B611&amp;Table4[[#This Row],[Tipo Servicio]]</f>
        <v>SINALOARETIRO - BARRIL</v>
      </c>
      <c r="B611" t="s">
        <v>88</v>
      </c>
      <c r="C611" t="s">
        <v>164</v>
      </c>
      <c r="D611" t="s">
        <v>45</v>
      </c>
      <c r="F611" s="56" t="s">
        <v>280</v>
      </c>
      <c r="G611" t="str">
        <f>_xlfn.XLOOKUP(Table4[[#This Row],[GZ]],'[1]BASE TRADE'!$R:$R,'[1]BASE TRADE'!$Q:$Q)</f>
        <v>1. Northwest</v>
      </c>
    </row>
    <row r="612" spans="1:7">
      <c r="A612" t="str">
        <f>B612&amp;Table4[[#This Row],[Tipo Servicio]]</f>
        <v>SINALOARETIRO - CUARTO FRIO</v>
      </c>
      <c r="B612" t="s">
        <v>88</v>
      </c>
      <c r="C612" t="s">
        <v>164</v>
      </c>
      <c r="D612" t="s">
        <v>45</v>
      </c>
      <c r="F612" s="56" t="s">
        <v>283</v>
      </c>
      <c r="G612" t="str">
        <f>_xlfn.XLOOKUP(Table4[[#This Row],[GZ]],'[1]BASE TRADE'!$R:$R,'[1]BASE TRADE'!$Q:$Q)</f>
        <v>1. Northwest</v>
      </c>
    </row>
    <row r="613" spans="1:7">
      <c r="A613" t="str">
        <f>B613&amp;Table4[[#This Row],[Tipo Servicio]]</f>
        <v>SINALOAPRIMERA POSICION - ENFRIADOR</v>
      </c>
      <c r="B613" t="s">
        <v>88</v>
      </c>
      <c r="C613" t="s">
        <v>164</v>
      </c>
      <c r="D613" t="s">
        <v>45</v>
      </c>
      <c r="F613" s="56" t="s">
        <v>274</v>
      </c>
      <c r="G613" t="str">
        <f>_xlfn.XLOOKUP(Table4[[#This Row],[GZ]],'[1]BASE TRADE'!$R:$R,'[1]BASE TRADE'!$Q:$Q)</f>
        <v>1. Northwest</v>
      </c>
    </row>
    <row r="614" spans="1:7">
      <c r="A614" t="str">
        <f>B614&amp;Table4[[#This Row],[Tipo Servicio]]</f>
        <v>SINALOAMTTO CORRECTIVO PISO - BARRIL</v>
      </c>
      <c r="B614" t="s">
        <v>88</v>
      </c>
      <c r="C614" t="s">
        <v>166</v>
      </c>
      <c r="D614" t="s">
        <v>47</v>
      </c>
      <c r="F614" s="56" t="s">
        <v>276</v>
      </c>
      <c r="G614" t="str">
        <f>_xlfn.XLOOKUP(Table4[[#This Row],[GZ]],'[1]BASE TRADE'!$R:$R,'[1]BASE TRADE'!$Q:$Q)</f>
        <v>1. Northwest</v>
      </c>
    </row>
    <row r="615" spans="1:7">
      <c r="A615" t="str">
        <f>B615&amp;Table4[[#This Row],[Tipo Servicio]]</f>
        <v>SINALOAMTTO PREVENTIVO RUTA - BARRIL</v>
      </c>
      <c r="B615" t="s">
        <v>88</v>
      </c>
      <c r="C615" t="s">
        <v>166</v>
      </c>
      <c r="D615" t="s">
        <v>47</v>
      </c>
      <c r="F615" s="56" t="s">
        <v>277</v>
      </c>
      <c r="G615" t="str">
        <f>_xlfn.XLOOKUP(Table4[[#This Row],[GZ]],'[1]BASE TRADE'!$R:$R,'[1]BASE TRADE'!$Q:$Q)</f>
        <v>1. Northwest</v>
      </c>
    </row>
    <row r="616" spans="1:7">
      <c r="A616" t="str">
        <f>B616&amp;Table4[[#This Row],[Tipo Servicio]]</f>
        <v>SINALOARECARGA CO2 - BARRIL</v>
      </c>
      <c r="B616" t="s">
        <v>88</v>
      </c>
      <c r="C616" t="s">
        <v>166</v>
      </c>
      <c r="D616" t="s">
        <v>47</v>
      </c>
      <c r="F616" s="56" t="s">
        <v>278</v>
      </c>
      <c r="G616" t="str">
        <f>_xlfn.XLOOKUP(Table4[[#This Row],[GZ]],'[1]BASE TRADE'!$R:$R,'[1]BASE TRADE'!$Q:$Q)</f>
        <v>1. Northwest</v>
      </c>
    </row>
    <row r="617" spans="1:7">
      <c r="A617" t="str">
        <f>B617&amp;Table4[[#This Row],[Tipo Servicio]]</f>
        <v>SINALOAREFACCIONES - BARRIL</v>
      </c>
      <c r="B617" t="s">
        <v>88</v>
      </c>
      <c r="C617" t="s">
        <v>166</v>
      </c>
      <c r="D617" t="s">
        <v>47</v>
      </c>
      <c r="F617" s="56" t="s">
        <v>102</v>
      </c>
      <c r="G617" t="str">
        <f>_xlfn.XLOOKUP(Table4[[#This Row],[GZ]],'[1]BASE TRADE'!$R:$R,'[1]BASE TRADE'!$Q:$Q)</f>
        <v>1. Northwest</v>
      </c>
    </row>
    <row r="618" spans="1:7">
      <c r="A618" t="str">
        <f>B618&amp;Table4[[#This Row],[Tipo Servicio]]</f>
        <v>SINALOAMTTO PREVENTIVO RUTA - CUARTO FRIO</v>
      </c>
      <c r="B618" t="s">
        <v>88</v>
      </c>
      <c r="C618" t="s">
        <v>167</v>
      </c>
      <c r="D618" t="s">
        <v>142</v>
      </c>
      <c r="F618" s="56" t="s">
        <v>281</v>
      </c>
      <c r="G618" t="str">
        <f>_xlfn.XLOOKUP(Table4[[#This Row],[GZ]],'[1]BASE TRADE'!$R:$R,'[1]BASE TRADE'!$Q:$Q)</f>
        <v>1. Northwest</v>
      </c>
    </row>
    <row r="619" spans="1:7">
      <c r="A619" t="str">
        <f>B619&amp;Table4[[#This Row],[Tipo Servicio]]</f>
        <v>SINALOAREFACCIONES - CUARTO FRIO</v>
      </c>
      <c r="B619" t="s">
        <v>88</v>
      </c>
      <c r="C619" t="s">
        <v>167</v>
      </c>
      <c r="D619" t="s">
        <v>142</v>
      </c>
      <c r="F619" s="56" t="s">
        <v>105</v>
      </c>
      <c r="G619" t="str">
        <f>_xlfn.XLOOKUP(Table4[[#This Row],[GZ]],'[1]BASE TRADE'!$R:$R,'[1]BASE TRADE'!$Q:$Q)</f>
        <v>1. Northwest</v>
      </c>
    </row>
    <row r="620" spans="1:7">
      <c r="A620" t="str">
        <f>B620&amp;Table4[[#This Row],[Tipo Servicio]]</f>
        <v>SINALOASERVICIO EXPRESS PISO - ENFRIADOR</v>
      </c>
      <c r="B620" t="s">
        <v>88</v>
      </c>
      <c r="C620" t="s">
        <v>169</v>
      </c>
      <c r="D620" t="s">
        <v>132</v>
      </c>
      <c r="F620" s="56" t="s">
        <v>275</v>
      </c>
      <c r="G620" t="str">
        <f>_xlfn.XLOOKUP(Table4[[#This Row],[GZ]],'[1]BASE TRADE'!$R:$R,'[1]BASE TRADE'!$Q:$Q)</f>
        <v>1. Northwest</v>
      </c>
    </row>
    <row r="621" spans="1:7">
      <c r="A621" t="str">
        <f>B621&amp;Table4[[#This Row],[Tipo Servicio]]</f>
        <v>SINALOAREFACCIONES - ENFRIADOR</v>
      </c>
      <c r="B621" t="s">
        <v>88</v>
      </c>
      <c r="C621" t="s">
        <v>169</v>
      </c>
      <c r="D621" t="s">
        <v>132</v>
      </c>
      <c r="F621" s="56" t="s">
        <v>41</v>
      </c>
      <c r="G621" t="str">
        <f>_xlfn.XLOOKUP(Table4[[#This Row],[GZ]],'[1]BASE TRADE'!$R:$R,'[1]BASE TRADE'!$Q:$Q)</f>
        <v>1. Northwest</v>
      </c>
    </row>
    <row r="622" spans="1:7">
      <c r="A622" t="str">
        <f>B622&amp;Table4[[#This Row],[Tipo Servicio]]</f>
        <v>SINALOAMTTO CORRECTIVO PISO - MAQUINA HIELO</v>
      </c>
      <c r="B622" t="s">
        <v>88</v>
      </c>
      <c r="C622" t="s">
        <v>168</v>
      </c>
      <c r="D622" t="s">
        <v>128</v>
      </c>
      <c r="F622" s="56" t="s">
        <v>286</v>
      </c>
      <c r="G622" t="str">
        <f>_xlfn.XLOOKUP(Table4[[#This Row],[GZ]],'[1]BASE TRADE'!$R:$R,'[1]BASE TRADE'!$Q:$Q)</f>
        <v>1. Northwest</v>
      </c>
    </row>
    <row r="623" spans="1:7">
      <c r="A623" t="str">
        <f>B623&amp;Table4[[#This Row],[Tipo Servicio]]</f>
        <v>SINALOAMTTO PREVENTIVO RUTA - MAQUINA HIELO</v>
      </c>
      <c r="B623" t="s">
        <v>88</v>
      </c>
      <c r="C623" t="s">
        <v>168</v>
      </c>
      <c r="D623" t="s">
        <v>128</v>
      </c>
      <c r="F623" s="56" t="s">
        <v>287</v>
      </c>
      <c r="G623" t="str">
        <f>_xlfn.XLOOKUP(Table4[[#This Row],[GZ]],'[1]BASE TRADE'!$R:$R,'[1]BASE TRADE'!$Q:$Q)</f>
        <v>1. Northwest</v>
      </c>
    </row>
    <row r="624" spans="1:7">
      <c r="A624" t="str">
        <f>B624&amp;Table4[[#This Row],[Tipo Servicio]]</f>
        <v>SINALOAREFACCIONES - MAQUINA HIELO</v>
      </c>
      <c r="B624" t="s">
        <v>88</v>
      </c>
      <c r="C624" t="s">
        <v>168</v>
      </c>
      <c r="D624" t="s">
        <v>128</v>
      </c>
      <c r="F624" s="56" t="s">
        <v>39</v>
      </c>
      <c r="G624" t="str">
        <f>_xlfn.XLOOKUP(Table4[[#This Row],[GZ]],'[1]BASE TRADE'!$R:$R,'[1]BASE TRADE'!$Q:$Q)</f>
        <v>1. Northwest</v>
      </c>
    </row>
    <row r="625" spans="1:7">
      <c r="A625" t="str">
        <f>B625&amp;Table4[[#This Row],[Tipo Servicio]]</f>
        <v>QROOINSTALACION - MAQUINA HIELO</v>
      </c>
      <c r="B625" t="s">
        <v>86</v>
      </c>
      <c r="C625" t="s">
        <v>191</v>
      </c>
      <c r="D625" t="s">
        <v>45</v>
      </c>
      <c r="F625" s="56" t="s">
        <v>284</v>
      </c>
      <c r="G625" t="s">
        <v>176</v>
      </c>
    </row>
    <row r="626" spans="1:7">
      <c r="A626" t="str">
        <f>B626&amp;Table4[[#This Row],[Tipo Servicio]]</f>
        <v>QROOINSTALACION - BARRIL</v>
      </c>
      <c r="B626" t="s">
        <v>86</v>
      </c>
      <c r="C626" t="s">
        <v>191</v>
      </c>
      <c r="D626" t="s">
        <v>45</v>
      </c>
      <c r="F626" s="56" t="s">
        <v>279</v>
      </c>
      <c r="G626" t="s">
        <v>176</v>
      </c>
    </row>
    <row r="627" spans="1:7">
      <c r="A627" t="str">
        <f>B627&amp;Table4[[#This Row],[Tipo Servicio]]</f>
        <v>QROOINSTALACION - CUARTO FRIO</v>
      </c>
      <c r="B627" t="s">
        <v>86</v>
      </c>
      <c r="C627" t="s">
        <v>191</v>
      </c>
      <c r="D627" t="s">
        <v>45</v>
      </c>
      <c r="F627" s="56" t="s">
        <v>282</v>
      </c>
      <c r="G627" t="s">
        <v>176</v>
      </c>
    </row>
    <row r="628" spans="1:7">
      <c r="A628" t="str">
        <f>B628&amp;Table4[[#This Row],[Tipo Servicio]]</f>
        <v>QROORETIRO - ENFRIADOR</v>
      </c>
      <c r="B628" t="s">
        <v>86</v>
      </c>
      <c r="C628" t="s">
        <v>191</v>
      </c>
      <c r="D628" t="s">
        <v>45</v>
      </c>
      <c r="F628" s="56" t="s">
        <v>273</v>
      </c>
      <c r="G628" t="s">
        <v>176</v>
      </c>
    </row>
    <row r="629" spans="1:7">
      <c r="A629" t="str">
        <f>B629&amp;Table4[[#This Row],[Tipo Servicio]]</f>
        <v>QROORETIRO - MAQUINA HIELO</v>
      </c>
      <c r="B629" t="s">
        <v>86</v>
      </c>
      <c r="C629" t="s">
        <v>191</v>
      </c>
      <c r="D629" t="s">
        <v>45</v>
      </c>
      <c r="F629" s="56" t="s">
        <v>285</v>
      </c>
      <c r="G629" t="s">
        <v>176</v>
      </c>
    </row>
    <row r="630" spans="1:7">
      <c r="A630" t="str">
        <f>B630&amp;Table4[[#This Row],[Tipo Servicio]]</f>
        <v>QROORETIRO - BARRIL</v>
      </c>
      <c r="B630" t="s">
        <v>86</v>
      </c>
      <c r="C630" t="s">
        <v>191</v>
      </c>
      <c r="D630" t="s">
        <v>45</v>
      </c>
      <c r="F630" s="56" t="s">
        <v>280</v>
      </c>
      <c r="G630" t="s">
        <v>176</v>
      </c>
    </row>
    <row r="631" spans="1:7">
      <c r="A631" t="str">
        <f>B631&amp;Table4[[#This Row],[Tipo Servicio]]</f>
        <v>QROORETIRO - CUARTO FRIO</v>
      </c>
      <c r="B631" t="s">
        <v>86</v>
      </c>
      <c r="C631" t="s">
        <v>191</v>
      </c>
      <c r="D631" t="s">
        <v>45</v>
      </c>
      <c r="F631" s="56" t="s">
        <v>283</v>
      </c>
      <c r="G631" t="s">
        <v>176</v>
      </c>
    </row>
    <row r="632" spans="1:7">
      <c r="A632" t="str">
        <f>B632&amp;Table4[[#This Row],[Tipo Servicio]]</f>
        <v>QROOPRIMERA POSICION - ENFRIADOR</v>
      </c>
      <c r="B632" t="s">
        <v>86</v>
      </c>
      <c r="C632" t="s">
        <v>191</v>
      </c>
      <c r="D632" t="s">
        <v>45</v>
      </c>
      <c r="F632" s="56" t="s">
        <v>274</v>
      </c>
      <c r="G632" t="s">
        <v>176</v>
      </c>
    </row>
    <row r="633" spans="1:7">
      <c r="A633" t="str">
        <f>B633&amp;Table4[[#This Row],[Tipo Servicio]]</f>
        <v>QROOMTTO CORRECTIVO PISO - BARRIL</v>
      </c>
      <c r="B633" t="s">
        <v>86</v>
      </c>
      <c r="C633" t="s">
        <v>189</v>
      </c>
      <c r="D633" t="s">
        <v>47</v>
      </c>
      <c r="F633" s="56" t="s">
        <v>276</v>
      </c>
      <c r="G633" t="s">
        <v>176</v>
      </c>
    </row>
    <row r="634" spans="1:7">
      <c r="A634" t="str">
        <f>B634&amp;Table4[[#This Row],[Tipo Servicio]]</f>
        <v>QROOMTTO PREVENTIVO RUTA - BARRIL</v>
      </c>
      <c r="B634" t="s">
        <v>86</v>
      </c>
      <c r="C634" t="s">
        <v>189</v>
      </c>
      <c r="D634" t="s">
        <v>47</v>
      </c>
      <c r="F634" s="56" t="s">
        <v>277</v>
      </c>
      <c r="G634" t="s">
        <v>176</v>
      </c>
    </row>
    <row r="635" spans="1:7">
      <c r="A635" t="str">
        <f>B635&amp;Table4[[#This Row],[Tipo Servicio]]</f>
        <v>QROORECARGA CO2 - BARRIL</v>
      </c>
      <c r="B635" t="s">
        <v>86</v>
      </c>
      <c r="C635" t="s">
        <v>189</v>
      </c>
      <c r="D635" t="s">
        <v>47</v>
      </c>
      <c r="F635" s="56" t="s">
        <v>278</v>
      </c>
      <c r="G635" t="s">
        <v>176</v>
      </c>
    </row>
    <row r="636" spans="1:7">
      <c r="A636" t="str">
        <f>B636&amp;Table4[[#This Row],[Tipo Servicio]]</f>
        <v>QROOREFACCIONES - BARRIL</v>
      </c>
      <c r="B636" t="s">
        <v>86</v>
      </c>
      <c r="C636" t="s">
        <v>189</v>
      </c>
      <c r="D636" t="s">
        <v>47</v>
      </c>
      <c r="F636" s="56" t="s">
        <v>102</v>
      </c>
      <c r="G636" t="s">
        <v>176</v>
      </c>
    </row>
    <row r="637" spans="1:7">
      <c r="A637" t="str">
        <f>B637&amp;Table4[[#This Row],[Tipo Servicio]]</f>
        <v>QROOSERVICIO EXPRESS PISO - ENFRIADOR</v>
      </c>
      <c r="B637" t="s">
        <v>86</v>
      </c>
      <c r="C637" t="s">
        <v>190</v>
      </c>
      <c r="D637" t="s">
        <v>132</v>
      </c>
      <c r="F637" s="56" t="s">
        <v>275</v>
      </c>
      <c r="G637" t="s">
        <v>176</v>
      </c>
    </row>
    <row r="638" spans="1:7">
      <c r="A638" t="str">
        <f>B638&amp;Table4[[#This Row],[Tipo Servicio]]</f>
        <v>QROOREFACCIONES - ENFRIADOR</v>
      </c>
      <c r="B638" t="s">
        <v>86</v>
      </c>
      <c r="C638" t="s">
        <v>190</v>
      </c>
      <c r="D638" t="s">
        <v>132</v>
      </c>
      <c r="F638" s="56" t="s">
        <v>41</v>
      </c>
      <c r="G638" t="s">
        <v>176</v>
      </c>
    </row>
    <row r="639" spans="1:7">
      <c r="A639" t="str">
        <f>B639&amp;Table4[[#This Row],[Tipo Servicio]]</f>
        <v>QROOMTTO CORRECTIVO PISO - MAQUINA HIELO</v>
      </c>
      <c r="B639" t="s">
        <v>86</v>
      </c>
      <c r="C639" t="s">
        <v>262</v>
      </c>
      <c r="D639" t="s">
        <v>128</v>
      </c>
      <c r="F639" s="56" t="s">
        <v>286</v>
      </c>
      <c r="G639" t="s">
        <v>176</v>
      </c>
    </row>
    <row r="640" spans="1:7">
      <c r="A640" t="str">
        <f>B640&amp;Table4[[#This Row],[Tipo Servicio]]</f>
        <v>QROOMTTO PREVENTIVO RUTA - MAQUINA HIELO</v>
      </c>
      <c r="B640" t="s">
        <v>86</v>
      </c>
      <c r="C640" t="s">
        <v>262</v>
      </c>
      <c r="D640" t="s">
        <v>128</v>
      </c>
      <c r="F640" s="56" t="s">
        <v>287</v>
      </c>
      <c r="G640" t="s">
        <v>176</v>
      </c>
    </row>
    <row r="641" spans="1:7">
      <c r="A641" t="str">
        <f>B641&amp;Table4[[#This Row],[Tipo Servicio]]</f>
        <v>QROOREFACCIONES - MAQUINA HIELO</v>
      </c>
      <c r="B641" t="s">
        <v>86</v>
      </c>
      <c r="C641" t="s">
        <v>262</v>
      </c>
      <c r="D641" t="s">
        <v>128</v>
      </c>
      <c r="F641" s="56" t="s">
        <v>39</v>
      </c>
      <c r="G641" t="s">
        <v>176</v>
      </c>
    </row>
    <row r="642" spans="1:7">
      <c r="A642" t="str">
        <f>B642&amp;Table4[[#This Row],[Tipo Servicio]]</f>
        <v>QRO-GTOINSTALACION - MAQUINA HIELO</v>
      </c>
      <c r="B642" t="s">
        <v>76</v>
      </c>
      <c r="C642" t="s">
        <v>227</v>
      </c>
      <c r="D642" t="s">
        <v>45</v>
      </c>
      <c r="F642" s="56" t="s">
        <v>284</v>
      </c>
      <c r="G642" t="s">
        <v>219</v>
      </c>
    </row>
    <row r="643" spans="1:7">
      <c r="A643" t="str">
        <f>B643&amp;Table4[[#This Row],[Tipo Servicio]]</f>
        <v>QRO-GTOINSTALACION - BARRIL</v>
      </c>
      <c r="B643" t="s">
        <v>76</v>
      </c>
      <c r="C643" t="s">
        <v>227</v>
      </c>
      <c r="D643" t="s">
        <v>45</v>
      </c>
      <c r="F643" s="56" t="s">
        <v>279</v>
      </c>
      <c r="G643" t="s">
        <v>219</v>
      </c>
    </row>
    <row r="644" spans="1:7">
      <c r="A644" t="str">
        <f>B644&amp;Table4[[#This Row],[Tipo Servicio]]</f>
        <v>QRO-GTOINSTALACION - CUARTO FRIO</v>
      </c>
      <c r="B644" t="s">
        <v>76</v>
      </c>
      <c r="C644" t="s">
        <v>227</v>
      </c>
      <c r="D644" t="s">
        <v>45</v>
      </c>
      <c r="F644" s="56" t="s">
        <v>282</v>
      </c>
      <c r="G644" t="s">
        <v>219</v>
      </c>
    </row>
    <row r="645" spans="1:7">
      <c r="A645" t="str">
        <f>B645&amp;Table4[[#This Row],[Tipo Servicio]]</f>
        <v>QRO-GTORETIRO - ENFRIADOR</v>
      </c>
      <c r="B645" t="s">
        <v>76</v>
      </c>
      <c r="C645" t="s">
        <v>227</v>
      </c>
      <c r="D645" t="s">
        <v>45</v>
      </c>
      <c r="F645" s="56" t="s">
        <v>273</v>
      </c>
      <c r="G645" t="s">
        <v>219</v>
      </c>
    </row>
    <row r="646" spans="1:7">
      <c r="A646" t="str">
        <f>B646&amp;Table4[[#This Row],[Tipo Servicio]]</f>
        <v>QRO-GTORETIRO - MAQUINA HIELO</v>
      </c>
      <c r="B646" t="s">
        <v>76</v>
      </c>
      <c r="C646" t="s">
        <v>227</v>
      </c>
      <c r="D646" t="s">
        <v>45</v>
      </c>
      <c r="F646" s="56" t="s">
        <v>285</v>
      </c>
      <c r="G646" t="s">
        <v>219</v>
      </c>
    </row>
    <row r="647" spans="1:7">
      <c r="A647" t="str">
        <f>B647&amp;Table4[[#This Row],[Tipo Servicio]]</f>
        <v>QRO-GTORETIRO - BARRIL</v>
      </c>
      <c r="B647" t="s">
        <v>76</v>
      </c>
      <c r="C647" t="s">
        <v>227</v>
      </c>
      <c r="D647" t="s">
        <v>45</v>
      </c>
      <c r="F647" s="56" t="s">
        <v>280</v>
      </c>
      <c r="G647" t="s">
        <v>219</v>
      </c>
    </row>
    <row r="648" spans="1:7">
      <c r="A648" t="str">
        <f>B648&amp;Table4[[#This Row],[Tipo Servicio]]</f>
        <v>QRO-GTORETIRO - CUARTO FRIO</v>
      </c>
      <c r="B648" t="s">
        <v>76</v>
      </c>
      <c r="C648" t="s">
        <v>227</v>
      </c>
      <c r="D648" t="s">
        <v>45</v>
      </c>
      <c r="F648" s="56" t="s">
        <v>283</v>
      </c>
      <c r="G648" t="s">
        <v>219</v>
      </c>
    </row>
    <row r="649" spans="1:7">
      <c r="A649" t="str">
        <f>B649&amp;Table4[[#This Row],[Tipo Servicio]]</f>
        <v>QRO-GTOPRIMERA POSICION - ENFRIADOR</v>
      </c>
      <c r="B649" t="s">
        <v>76</v>
      </c>
      <c r="C649" t="s">
        <v>227</v>
      </c>
      <c r="D649" t="s">
        <v>45</v>
      </c>
      <c r="F649" s="56" t="s">
        <v>274</v>
      </c>
      <c r="G649" t="s">
        <v>219</v>
      </c>
    </row>
    <row r="650" spans="1:7">
      <c r="A650" t="str">
        <f>B650&amp;Table4[[#This Row],[Tipo Servicio]]</f>
        <v>QRO-GTOMTTO CORRECTIVO PISO - BARRIL</v>
      </c>
      <c r="B650" t="s">
        <v>76</v>
      </c>
      <c r="C650" t="s">
        <v>224</v>
      </c>
      <c r="D650" t="s">
        <v>47</v>
      </c>
      <c r="F650" s="56" t="s">
        <v>276</v>
      </c>
      <c r="G650" t="s">
        <v>219</v>
      </c>
    </row>
    <row r="651" spans="1:7">
      <c r="A651" t="str">
        <f>B651&amp;Table4[[#This Row],[Tipo Servicio]]</f>
        <v>QRO-GTOMTTO PREVENTIVO RUTA - BARRIL</v>
      </c>
      <c r="B651" t="s">
        <v>76</v>
      </c>
      <c r="C651" t="s">
        <v>224</v>
      </c>
      <c r="D651" t="s">
        <v>47</v>
      </c>
      <c r="F651" s="56" t="s">
        <v>277</v>
      </c>
      <c r="G651" t="s">
        <v>219</v>
      </c>
    </row>
    <row r="652" spans="1:7">
      <c r="A652" t="str">
        <f>B652&amp;Table4[[#This Row],[Tipo Servicio]]</f>
        <v>QRO-GTORECARGA CO2 - BARRIL</v>
      </c>
      <c r="B652" t="s">
        <v>76</v>
      </c>
      <c r="C652" t="s">
        <v>224</v>
      </c>
      <c r="D652" t="s">
        <v>47</v>
      </c>
      <c r="F652" s="56" t="s">
        <v>278</v>
      </c>
      <c r="G652" t="s">
        <v>219</v>
      </c>
    </row>
    <row r="653" spans="1:7">
      <c r="A653" t="str">
        <f>B653&amp;Table4[[#This Row],[Tipo Servicio]]</f>
        <v>QRO-GTOREFACCIONES - BARRIL</v>
      </c>
      <c r="B653" t="s">
        <v>76</v>
      </c>
      <c r="C653" t="s">
        <v>224</v>
      </c>
      <c r="D653" t="s">
        <v>47</v>
      </c>
      <c r="F653" s="56" t="s">
        <v>102</v>
      </c>
      <c r="G653" t="s">
        <v>219</v>
      </c>
    </row>
    <row r="654" spans="1:7">
      <c r="A654" t="str">
        <f>B654&amp;Table4[[#This Row],[Tipo Servicio]]</f>
        <v>QRO-GTOMTTO PREVENTIVO RUTA - CUARTO FRIO</v>
      </c>
      <c r="B654" t="s">
        <v>76</v>
      </c>
      <c r="C654" t="s">
        <v>225</v>
      </c>
      <c r="D654" t="s">
        <v>142</v>
      </c>
      <c r="F654" s="56" t="s">
        <v>281</v>
      </c>
      <c r="G654" t="s">
        <v>219</v>
      </c>
    </row>
    <row r="655" spans="1:7">
      <c r="A655" t="str">
        <f>B655&amp;Table4[[#This Row],[Tipo Servicio]]</f>
        <v>QRO-GTOREFACCIONES - CUARTO FRIO</v>
      </c>
      <c r="B655" t="s">
        <v>76</v>
      </c>
      <c r="C655" t="s">
        <v>225</v>
      </c>
      <c r="D655" t="s">
        <v>142</v>
      </c>
      <c r="F655" s="56" t="s">
        <v>105</v>
      </c>
      <c r="G655" t="s">
        <v>219</v>
      </c>
    </row>
    <row r="656" spans="1:7">
      <c r="A656" t="str">
        <f>B656&amp;Table4[[#This Row],[Tipo Servicio]]</f>
        <v>QRO-GTOSERVICIO EXPRESS PISO - ENFRIADOR</v>
      </c>
      <c r="B656" t="s">
        <v>76</v>
      </c>
      <c r="C656" t="s">
        <v>226</v>
      </c>
      <c r="D656" t="s">
        <v>132</v>
      </c>
      <c r="F656" s="56" t="s">
        <v>275</v>
      </c>
      <c r="G656" t="s">
        <v>219</v>
      </c>
    </row>
    <row r="657" spans="1:7">
      <c r="A657" t="str">
        <f>B657&amp;Table4[[#This Row],[Tipo Servicio]]</f>
        <v>QRO-GTOREFACCIONES - ENFRIADOR</v>
      </c>
      <c r="B657" t="s">
        <v>76</v>
      </c>
      <c r="C657" t="s">
        <v>226</v>
      </c>
      <c r="D657" t="s">
        <v>132</v>
      </c>
      <c r="F657" s="56" t="s">
        <v>41</v>
      </c>
      <c r="G657" t="s">
        <v>219</v>
      </c>
    </row>
    <row r="658" spans="1:7">
      <c r="A658" t="str">
        <f>B658&amp;Table4[[#This Row],[Tipo Servicio]]</f>
        <v>QRO-GTOMTTO CORRECTIVO PISO - MAQUINA HIELO</v>
      </c>
      <c r="B658" t="s">
        <v>76</v>
      </c>
      <c r="C658" t="s">
        <v>260</v>
      </c>
      <c r="D658" t="s">
        <v>128</v>
      </c>
      <c r="F658" s="56" t="s">
        <v>286</v>
      </c>
      <c r="G658" t="s">
        <v>219</v>
      </c>
    </row>
    <row r="659" spans="1:7">
      <c r="A659" t="str">
        <f>B659&amp;Table4[[#This Row],[Tipo Servicio]]</f>
        <v>QRO-GTOMTTO PREVENTIVO RUTA - MAQUINA HIELO</v>
      </c>
      <c r="B659" t="s">
        <v>76</v>
      </c>
      <c r="C659" t="s">
        <v>260</v>
      </c>
      <c r="D659" t="s">
        <v>128</v>
      </c>
      <c r="F659" s="56" t="s">
        <v>287</v>
      </c>
      <c r="G659" t="s">
        <v>219</v>
      </c>
    </row>
    <row r="660" spans="1:7">
      <c r="A660" t="str">
        <f>B660&amp;Table4[[#This Row],[Tipo Servicio]]</f>
        <v>QRO-GTOREFACCIONES - MAQUINA HIELO</v>
      </c>
      <c r="B660" t="s">
        <v>76</v>
      </c>
      <c r="C660" t="s">
        <v>260</v>
      </c>
      <c r="D660" t="s">
        <v>128</v>
      </c>
      <c r="F660" s="56" t="s">
        <v>39</v>
      </c>
      <c r="G660" t="s">
        <v>219</v>
      </c>
    </row>
    <row r="661" spans="1:7">
      <c r="A661" t="str">
        <f>B661&amp;Table4[[#This Row],[Tipo Servicio]]</f>
        <v>PUEBLA-TLAXCALAINSTALACION - MAQUINA HIELO</v>
      </c>
      <c r="B661" t="s">
        <v>85</v>
      </c>
      <c r="C661" t="s">
        <v>180</v>
      </c>
      <c r="D661" t="s">
        <v>45</v>
      </c>
      <c r="F661" s="56" t="s">
        <v>284</v>
      </c>
      <c r="G661" t="e">
        <f>_xlfn.XLOOKUP(Table4[[#This Row],[GZ]],'[1]BASE TRADE'!$R:$R,'[1]BASE TRADE'!$Q:$Q)</f>
        <v>#N/A</v>
      </c>
    </row>
    <row r="662" spans="1:7">
      <c r="A662" t="str">
        <f>B662&amp;Table4[[#This Row],[Tipo Servicio]]</f>
        <v>PUEBLA-TLAXCALAINSTALACION - BARRIL</v>
      </c>
      <c r="B662" t="s">
        <v>85</v>
      </c>
      <c r="C662" t="s">
        <v>180</v>
      </c>
      <c r="D662" t="s">
        <v>45</v>
      </c>
      <c r="F662" s="56" t="s">
        <v>279</v>
      </c>
      <c r="G662" t="e">
        <f>_xlfn.XLOOKUP(Table4[[#This Row],[GZ]],'[1]BASE TRADE'!$R:$R,'[1]BASE TRADE'!$Q:$Q)</f>
        <v>#N/A</v>
      </c>
    </row>
    <row r="663" spans="1:7">
      <c r="A663" t="str">
        <f>B663&amp;Table4[[#This Row],[Tipo Servicio]]</f>
        <v>PUEBLA-TLAXCALAINSTALACION - CUARTO FRIO</v>
      </c>
      <c r="B663" t="s">
        <v>85</v>
      </c>
      <c r="C663" t="s">
        <v>180</v>
      </c>
      <c r="D663" t="s">
        <v>45</v>
      </c>
      <c r="F663" s="56" t="s">
        <v>282</v>
      </c>
      <c r="G663" t="e">
        <f>_xlfn.XLOOKUP(Table4[[#This Row],[GZ]],'[1]BASE TRADE'!$R:$R,'[1]BASE TRADE'!$Q:$Q)</f>
        <v>#N/A</v>
      </c>
    </row>
    <row r="664" spans="1:7">
      <c r="A664" t="str">
        <f>B664&amp;Table4[[#This Row],[Tipo Servicio]]</f>
        <v>PUEBLA-TLAXCALARETIRO - ENFRIADOR</v>
      </c>
      <c r="B664" t="s">
        <v>85</v>
      </c>
      <c r="C664" t="s">
        <v>180</v>
      </c>
      <c r="D664" t="s">
        <v>45</v>
      </c>
      <c r="F664" s="56" t="s">
        <v>273</v>
      </c>
      <c r="G664" t="e">
        <f>_xlfn.XLOOKUP(Table4[[#This Row],[GZ]],'[1]BASE TRADE'!$R:$R,'[1]BASE TRADE'!$Q:$Q)</f>
        <v>#N/A</v>
      </c>
    </row>
    <row r="665" spans="1:7">
      <c r="A665" t="str">
        <f>B665&amp;Table4[[#This Row],[Tipo Servicio]]</f>
        <v>PUEBLA-TLAXCALARETIRO - MAQUINA HIELO</v>
      </c>
      <c r="B665" t="s">
        <v>85</v>
      </c>
      <c r="C665" t="s">
        <v>180</v>
      </c>
      <c r="D665" t="s">
        <v>45</v>
      </c>
      <c r="F665" s="56" t="s">
        <v>285</v>
      </c>
      <c r="G665" t="e">
        <f>_xlfn.XLOOKUP(Table4[[#This Row],[GZ]],'[1]BASE TRADE'!$R:$R,'[1]BASE TRADE'!$Q:$Q)</f>
        <v>#N/A</v>
      </c>
    </row>
    <row r="666" spans="1:7">
      <c r="A666" t="str">
        <f>B666&amp;Table4[[#This Row],[Tipo Servicio]]</f>
        <v>PUEBLA-TLAXCALARETIRO - BARRIL</v>
      </c>
      <c r="B666" t="s">
        <v>85</v>
      </c>
      <c r="C666" t="s">
        <v>180</v>
      </c>
      <c r="D666" t="s">
        <v>45</v>
      </c>
      <c r="F666" s="56" t="s">
        <v>280</v>
      </c>
      <c r="G666" t="e">
        <f>_xlfn.XLOOKUP(Table4[[#This Row],[GZ]],'[1]BASE TRADE'!$R:$R,'[1]BASE TRADE'!$Q:$Q)</f>
        <v>#N/A</v>
      </c>
    </row>
    <row r="667" spans="1:7">
      <c r="A667" t="str">
        <f>B667&amp;Table4[[#This Row],[Tipo Servicio]]</f>
        <v>PUEBLA-TLAXCALARETIRO - CUARTO FRIO</v>
      </c>
      <c r="B667" t="s">
        <v>85</v>
      </c>
      <c r="C667" t="s">
        <v>180</v>
      </c>
      <c r="D667" t="s">
        <v>45</v>
      </c>
      <c r="F667" s="56" t="s">
        <v>283</v>
      </c>
      <c r="G667" t="e">
        <f>_xlfn.XLOOKUP(Table4[[#This Row],[GZ]],'[1]BASE TRADE'!$R:$R,'[1]BASE TRADE'!$Q:$Q)</f>
        <v>#N/A</v>
      </c>
    </row>
    <row r="668" spans="1:7">
      <c r="A668" t="str">
        <f>B668&amp;Table4[[#This Row],[Tipo Servicio]]</f>
        <v>PUEBLA-TLAXCALAPRIMERA POSICION - ENFRIADOR</v>
      </c>
      <c r="B668" t="s">
        <v>85</v>
      </c>
      <c r="C668" t="s">
        <v>180</v>
      </c>
      <c r="D668" t="s">
        <v>45</v>
      </c>
      <c r="F668" s="56" t="s">
        <v>274</v>
      </c>
      <c r="G668" t="e">
        <f>_xlfn.XLOOKUP(Table4[[#This Row],[GZ]],'[1]BASE TRADE'!$R:$R,'[1]BASE TRADE'!$Q:$Q)</f>
        <v>#N/A</v>
      </c>
    </row>
    <row r="669" spans="1:7">
      <c r="A669" t="str">
        <f>B669&amp;Table4[[#This Row],[Tipo Servicio]]</f>
        <v>PUEBLA-TLAXCALAMTTO CORRECTIVO PISO - BARRIL</v>
      </c>
      <c r="B669" t="s">
        <v>85</v>
      </c>
      <c r="C669" t="s">
        <v>182</v>
      </c>
      <c r="D669" t="s">
        <v>47</v>
      </c>
      <c r="F669" s="56" t="s">
        <v>276</v>
      </c>
      <c r="G669" t="e">
        <f>_xlfn.XLOOKUP(Table4[[#This Row],[GZ]],'[1]BASE TRADE'!$R:$R,'[1]BASE TRADE'!$Q:$Q)</f>
        <v>#N/A</v>
      </c>
    </row>
    <row r="670" spans="1:7">
      <c r="A670" t="str">
        <f>B670&amp;Table4[[#This Row],[Tipo Servicio]]</f>
        <v>PUEBLA-TLAXCALAMTTO PREVENTIVO RUTA - BARRIL</v>
      </c>
      <c r="B670" t="s">
        <v>85</v>
      </c>
      <c r="C670" t="s">
        <v>182</v>
      </c>
      <c r="D670" t="s">
        <v>47</v>
      </c>
      <c r="F670" s="56" t="s">
        <v>277</v>
      </c>
      <c r="G670" t="e">
        <f>_xlfn.XLOOKUP(Table4[[#This Row],[GZ]],'[1]BASE TRADE'!$R:$R,'[1]BASE TRADE'!$Q:$Q)</f>
        <v>#N/A</v>
      </c>
    </row>
    <row r="671" spans="1:7">
      <c r="A671" t="str">
        <f>B671&amp;Table4[[#This Row],[Tipo Servicio]]</f>
        <v>PUEBLA-TLAXCALARECARGA CO2 - BARRIL</v>
      </c>
      <c r="B671" t="s">
        <v>85</v>
      </c>
      <c r="C671" t="s">
        <v>182</v>
      </c>
      <c r="D671" t="s">
        <v>47</v>
      </c>
      <c r="F671" s="56" t="s">
        <v>278</v>
      </c>
      <c r="G671" t="e">
        <f>_xlfn.XLOOKUP(Table4[[#This Row],[GZ]],'[1]BASE TRADE'!$R:$R,'[1]BASE TRADE'!$Q:$Q)</f>
        <v>#N/A</v>
      </c>
    </row>
    <row r="672" spans="1:7">
      <c r="A672" t="str">
        <f>B672&amp;Table4[[#This Row],[Tipo Servicio]]</f>
        <v>PUEBLA-TLAXCALAREFACCIONES - BARRIL</v>
      </c>
      <c r="B672" t="s">
        <v>85</v>
      </c>
      <c r="C672" t="s">
        <v>182</v>
      </c>
      <c r="D672" t="s">
        <v>47</v>
      </c>
      <c r="F672" s="56" t="s">
        <v>102</v>
      </c>
      <c r="G672" t="e">
        <f>_xlfn.XLOOKUP(Table4[[#This Row],[GZ]],'[1]BASE TRADE'!$R:$R,'[1]BASE TRADE'!$Q:$Q)</f>
        <v>#N/A</v>
      </c>
    </row>
    <row r="673" spans="1:7">
      <c r="A673" t="str">
        <f>B673&amp;Table4[[#This Row],[Tipo Servicio]]</f>
        <v>PUEBLA-TLAXCALASERVICIO EXPRESS PISO - ENFRIADOR</v>
      </c>
      <c r="B673" t="s">
        <v>85</v>
      </c>
      <c r="C673" t="s">
        <v>183</v>
      </c>
      <c r="D673" t="s">
        <v>132</v>
      </c>
      <c r="F673" s="56" t="s">
        <v>275</v>
      </c>
      <c r="G673" t="e">
        <f>_xlfn.XLOOKUP(Table4[[#This Row],[GZ]],'[1]BASE TRADE'!$R:$R,'[1]BASE TRADE'!$Q:$Q)</f>
        <v>#N/A</v>
      </c>
    </row>
    <row r="674" spans="1:7">
      <c r="A674" t="str">
        <f>B674&amp;Table4[[#This Row],[Tipo Servicio]]</f>
        <v>PUEBLA-TLAXCALAREFACCIONES - ENFRIADOR</v>
      </c>
      <c r="B674" t="s">
        <v>85</v>
      </c>
      <c r="C674" t="s">
        <v>183</v>
      </c>
      <c r="D674" t="s">
        <v>132</v>
      </c>
      <c r="F674" s="56" t="s">
        <v>41</v>
      </c>
      <c r="G674" t="e">
        <f>_xlfn.XLOOKUP(Table4[[#This Row],[GZ]],'[1]BASE TRADE'!$R:$R,'[1]BASE TRADE'!$Q:$Q)</f>
        <v>#N/A</v>
      </c>
    </row>
    <row r="675" spans="1:7">
      <c r="A675" t="str">
        <f>B675&amp;Table4[[#This Row],[Tipo Servicio]]</f>
        <v>OAXACAINSTALACION - MAQUINA HIELO</v>
      </c>
      <c r="B675" t="s">
        <v>84</v>
      </c>
      <c r="C675" t="s">
        <v>214</v>
      </c>
      <c r="D675" t="s">
        <v>45</v>
      </c>
      <c r="F675" s="56" t="s">
        <v>284</v>
      </c>
      <c r="G675" t="str">
        <f>_xlfn.XLOOKUP(Table4[[#This Row],[GZ]],'[1]BASE TRADE'!$R:$R,'[1]BASE TRADE'!$Q:$Q)</f>
        <v>5. Southeast</v>
      </c>
    </row>
    <row r="676" spans="1:7">
      <c r="A676" t="str">
        <f>B676&amp;Table4[[#This Row],[Tipo Servicio]]</f>
        <v>OAXACAINSTALACION - BARRIL</v>
      </c>
      <c r="B676" t="s">
        <v>84</v>
      </c>
      <c r="C676" t="s">
        <v>214</v>
      </c>
      <c r="D676" t="s">
        <v>45</v>
      </c>
      <c r="F676" s="56" t="s">
        <v>279</v>
      </c>
      <c r="G676" t="str">
        <f>_xlfn.XLOOKUP(Table4[[#This Row],[GZ]],'[1]BASE TRADE'!$R:$R,'[1]BASE TRADE'!$Q:$Q)</f>
        <v>5. Southeast</v>
      </c>
    </row>
    <row r="677" spans="1:7">
      <c r="A677" t="str">
        <f>B677&amp;Table4[[#This Row],[Tipo Servicio]]</f>
        <v>OAXACAINSTALACION - CUARTO FRIO</v>
      </c>
      <c r="B677" t="s">
        <v>84</v>
      </c>
      <c r="C677" t="s">
        <v>214</v>
      </c>
      <c r="D677" t="s">
        <v>45</v>
      </c>
      <c r="F677" s="57" t="s">
        <v>282</v>
      </c>
      <c r="G677" t="str">
        <f>_xlfn.XLOOKUP(Table4[[#This Row],[GZ]],'[1]BASE TRADE'!$R:$R,'[1]BASE TRADE'!$Q:$Q)</f>
        <v>5. Southeast</v>
      </c>
    </row>
    <row r="678" spans="1:7">
      <c r="A678" t="str">
        <f>B678&amp;Table4[[#This Row],[Tipo Servicio]]</f>
        <v>OAXACARETIRO - ENFRIADOR</v>
      </c>
      <c r="B678" t="s">
        <v>84</v>
      </c>
      <c r="C678" t="s">
        <v>214</v>
      </c>
      <c r="D678" t="s">
        <v>45</v>
      </c>
      <c r="F678" s="56" t="s">
        <v>273</v>
      </c>
      <c r="G678" t="str">
        <f>_xlfn.XLOOKUP(Table4[[#This Row],[GZ]],'[1]BASE TRADE'!$R:$R,'[1]BASE TRADE'!$Q:$Q)</f>
        <v>5. Southeast</v>
      </c>
    </row>
    <row r="679" spans="1:7">
      <c r="A679" t="str">
        <f>B679&amp;Table4[[#This Row],[Tipo Servicio]]</f>
        <v>OAXACARETIRO - MAQUINA HIELO</v>
      </c>
      <c r="B679" t="s">
        <v>84</v>
      </c>
      <c r="C679" t="s">
        <v>214</v>
      </c>
      <c r="D679" t="s">
        <v>45</v>
      </c>
      <c r="F679" s="56" t="s">
        <v>285</v>
      </c>
      <c r="G679" t="str">
        <f>_xlfn.XLOOKUP(Table4[[#This Row],[GZ]],'[1]BASE TRADE'!$R:$R,'[1]BASE TRADE'!$Q:$Q)</f>
        <v>5. Southeast</v>
      </c>
    </row>
    <row r="680" spans="1:7">
      <c r="A680" t="str">
        <f>B680&amp;Table4[[#This Row],[Tipo Servicio]]</f>
        <v>OAXACARETIRO - BARRIL</v>
      </c>
      <c r="B680" t="s">
        <v>84</v>
      </c>
      <c r="C680" t="s">
        <v>214</v>
      </c>
      <c r="D680" t="s">
        <v>45</v>
      </c>
      <c r="F680" s="56" t="s">
        <v>280</v>
      </c>
      <c r="G680" t="str">
        <f>_xlfn.XLOOKUP(Table4[[#This Row],[GZ]],'[1]BASE TRADE'!$R:$R,'[1]BASE TRADE'!$Q:$Q)</f>
        <v>5. Southeast</v>
      </c>
    </row>
    <row r="681" spans="1:7">
      <c r="A681" t="str">
        <f>B681&amp;Table4[[#This Row],[Tipo Servicio]]</f>
        <v>OAXACARETIRO - CUARTO FRIO</v>
      </c>
      <c r="B681" t="s">
        <v>84</v>
      </c>
      <c r="C681" t="s">
        <v>214</v>
      </c>
      <c r="D681" t="s">
        <v>45</v>
      </c>
      <c r="F681" s="56" t="s">
        <v>283</v>
      </c>
      <c r="G681" t="str">
        <f>_xlfn.XLOOKUP(Table4[[#This Row],[GZ]],'[1]BASE TRADE'!$R:$R,'[1]BASE TRADE'!$Q:$Q)</f>
        <v>5. Southeast</v>
      </c>
    </row>
    <row r="682" spans="1:7">
      <c r="A682" t="str">
        <f>B682&amp;Table4[[#This Row],[Tipo Servicio]]</f>
        <v>OAXACAPRIMERA POSICION - ENFRIADOR</v>
      </c>
      <c r="B682" t="s">
        <v>84</v>
      </c>
      <c r="C682" t="s">
        <v>214</v>
      </c>
      <c r="D682" t="s">
        <v>45</v>
      </c>
      <c r="F682" s="56" t="s">
        <v>274</v>
      </c>
      <c r="G682" t="str">
        <f>_xlfn.XLOOKUP(Table4[[#This Row],[GZ]],'[1]BASE TRADE'!$R:$R,'[1]BASE TRADE'!$Q:$Q)</f>
        <v>5. Southeast</v>
      </c>
    </row>
    <row r="683" spans="1:7">
      <c r="A683" t="str">
        <f>B683&amp;Table4[[#This Row],[Tipo Servicio]]</f>
        <v>OAXACAMTTO CORRECTIVO PISO - BARRIL</v>
      </c>
      <c r="B683" t="s">
        <v>84</v>
      </c>
      <c r="C683" t="s">
        <v>216</v>
      </c>
      <c r="D683" t="s">
        <v>47</v>
      </c>
      <c r="F683" s="56" t="s">
        <v>276</v>
      </c>
      <c r="G683" t="str">
        <f>_xlfn.XLOOKUP(Table4[[#This Row],[GZ]],'[1]BASE TRADE'!$R:$R,'[1]BASE TRADE'!$Q:$Q)</f>
        <v>5. Southeast</v>
      </c>
    </row>
    <row r="684" spans="1:7">
      <c r="A684" t="str">
        <f>B684&amp;Table4[[#This Row],[Tipo Servicio]]</f>
        <v>OAXACAMTTO PREVENTIVO RUTA - BARRIL</v>
      </c>
      <c r="B684" t="s">
        <v>84</v>
      </c>
      <c r="C684" t="s">
        <v>216</v>
      </c>
      <c r="D684" t="s">
        <v>47</v>
      </c>
      <c r="F684" s="56" t="s">
        <v>277</v>
      </c>
      <c r="G684" t="str">
        <f>_xlfn.XLOOKUP(Table4[[#This Row],[GZ]],'[1]BASE TRADE'!$R:$R,'[1]BASE TRADE'!$Q:$Q)</f>
        <v>5. Southeast</v>
      </c>
    </row>
    <row r="685" spans="1:7">
      <c r="A685" t="str">
        <f>B685&amp;Table4[[#This Row],[Tipo Servicio]]</f>
        <v>OAXACARECARGA CO2 - BARRIL</v>
      </c>
      <c r="B685" t="s">
        <v>84</v>
      </c>
      <c r="C685" t="s">
        <v>216</v>
      </c>
      <c r="D685" t="s">
        <v>47</v>
      </c>
      <c r="F685" s="56" t="s">
        <v>278</v>
      </c>
      <c r="G685" t="str">
        <f>_xlfn.XLOOKUP(Table4[[#This Row],[GZ]],'[1]BASE TRADE'!$R:$R,'[1]BASE TRADE'!$Q:$Q)</f>
        <v>5. Southeast</v>
      </c>
    </row>
    <row r="686" spans="1:7">
      <c r="A686" t="str">
        <f>B686&amp;Table4[[#This Row],[Tipo Servicio]]</f>
        <v>OAXACAREFACCIONES - BARRIL</v>
      </c>
      <c r="B686" t="s">
        <v>84</v>
      </c>
      <c r="C686" t="s">
        <v>216</v>
      </c>
      <c r="D686" t="s">
        <v>47</v>
      </c>
      <c r="F686" s="56" t="s">
        <v>102</v>
      </c>
      <c r="G686" t="str">
        <f>_xlfn.XLOOKUP(Table4[[#This Row],[GZ]],'[1]BASE TRADE'!$R:$R,'[1]BASE TRADE'!$Q:$Q)</f>
        <v>5. Southeast</v>
      </c>
    </row>
    <row r="687" spans="1:7">
      <c r="A687" t="str">
        <f>B687&amp;Table4[[#This Row],[Tipo Servicio]]</f>
        <v>OAXACASERVICIO EXPRESS PISO - ENFRIADOR</v>
      </c>
      <c r="B687" t="s">
        <v>84</v>
      </c>
      <c r="C687" t="s">
        <v>217</v>
      </c>
      <c r="D687" t="s">
        <v>132</v>
      </c>
      <c r="F687" s="56" t="s">
        <v>275</v>
      </c>
      <c r="G687" t="str">
        <f>_xlfn.XLOOKUP(Table4[[#This Row],[GZ]],'[1]BASE TRADE'!$R:$R,'[1]BASE TRADE'!$Q:$Q)</f>
        <v>5. Southeast</v>
      </c>
    </row>
    <row r="688" spans="1:7">
      <c r="A688" t="str">
        <f>B688&amp;Table4[[#This Row],[Tipo Servicio]]</f>
        <v>OAXACAREFACCIONES - ENFRIADOR</v>
      </c>
      <c r="B688" t="s">
        <v>84</v>
      </c>
      <c r="C688" t="s">
        <v>217</v>
      </c>
      <c r="D688" t="s">
        <v>132</v>
      </c>
      <c r="F688" s="56" t="s">
        <v>41</v>
      </c>
      <c r="G688" t="str">
        <f>_xlfn.XLOOKUP(Table4[[#This Row],[GZ]],'[1]BASE TRADE'!$R:$R,'[1]BASE TRADE'!$Q:$Q)</f>
        <v>5. Southeast</v>
      </c>
    </row>
    <row r="689" spans="1:7">
      <c r="A689" t="str">
        <f>B689&amp;Table4[[#This Row],[Tipo Servicio]]</f>
        <v>OAXACAMTTO CORRECTIVO PISO - MAQUINA HIELO</v>
      </c>
      <c r="B689" t="s">
        <v>84</v>
      </c>
      <c r="C689" t="s">
        <v>259</v>
      </c>
      <c r="D689" t="s">
        <v>128</v>
      </c>
      <c r="F689" s="56" t="s">
        <v>286</v>
      </c>
      <c r="G689" t="str">
        <f>_xlfn.XLOOKUP(Table4[[#This Row],[GZ]],'[1]BASE TRADE'!$R:$R,'[1]BASE TRADE'!$Q:$Q)</f>
        <v>5. Southeast</v>
      </c>
    </row>
    <row r="690" spans="1:7">
      <c r="A690" t="str">
        <f>B690&amp;Table4[[#This Row],[Tipo Servicio]]</f>
        <v>OAXACAMTTO PREVENTIVO RUTA - MAQUINA HIELO</v>
      </c>
      <c r="B690" t="s">
        <v>84</v>
      </c>
      <c r="C690" t="s">
        <v>259</v>
      </c>
      <c r="D690" t="s">
        <v>128</v>
      </c>
      <c r="F690" s="56" t="s">
        <v>287</v>
      </c>
      <c r="G690" t="str">
        <f>_xlfn.XLOOKUP(Table4[[#This Row],[GZ]],'[1]BASE TRADE'!$R:$R,'[1]BASE TRADE'!$Q:$Q)</f>
        <v>5. Southeast</v>
      </c>
    </row>
    <row r="691" spans="1:7">
      <c r="A691" t="str">
        <f>B691&amp;Table4[[#This Row],[Tipo Servicio]]</f>
        <v>OAXACAREFACCIONES - MAQUINA HIELO</v>
      </c>
      <c r="B691" t="s">
        <v>84</v>
      </c>
      <c r="C691" t="s">
        <v>259</v>
      </c>
      <c r="D691" t="s">
        <v>128</v>
      </c>
      <c r="F691" s="56" t="s">
        <v>39</v>
      </c>
      <c r="G691" t="str">
        <f>_xlfn.XLOOKUP(Table4[[#This Row],[GZ]],'[1]BASE TRADE'!$R:$R,'[1]BASE TRADE'!$Q:$Q)</f>
        <v>5. Southeast</v>
      </c>
    </row>
    <row r="692" spans="1:7">
      <c r="A692" t="str">
        <f>B692&amp;Table4[[#This Row],[Tipo Servicio]]</f>
        <v>NUEVO LEONINSTALACION - MAQUINA HIELO</v>
      </c>
      <c r="B692" t="s">
        <v>83</v>
      </c>
      <c r="C692" t="s">
        <v>239</v>
      </c>
      <c r="D692" t="s">
        <v>45</v>
      </c>
      <c r="F692" s="56" t="s">
        <v>284</v>
      </c>
      <c r="G692" t="s">
        <v>240</v>
      </c>
    </row>
    <row r="693" spans="1:7">
      <c r="A693" t="str">
        <f>B693&amp;Table4[[#This Row],[Tipo Servicio]]</f>
        <v>NUEVO LEONINSTALACION - BARRIL</v>
      </c>
      <c r="B693" t="s">
        <v>83</v>
      </c>
      <c r="C693" t="s">
        <v>239</v>
      </c>
      <c r="D693" t="s">
        <v>45</v>
      </c>
      <c r="F693" s="56" t="s">
        <v>279</v>
      </c>
      <c r="G693" t="s">
        <v>240</v>
      </c>
    </row>
    <row r="694" spans="1:7">
      <c r="A694" t="str">
        <f>B694&amp;Table4[[#This Row],[Tipo Servicio]]</f>
        <v>NUEVO LEONINSTALACION - CUARTO FRIO</v>
      </c>
      <c r="B694" t="s">
        <v>83</v>
      </c>
      <c r="C694" t="s">
        <v>239</v>
      </c>
      <c r="D694" t="s">
        <v>45</v>
      </c>
      <c r="F694" s="56" t="s">
        <v>282</v>
      </c>
      <c r="G694" t="s">
        <v>240</v>
      </c>
    </row>
    <row r="695" spans="1:7">
      <c r="A695" t="str">
        <f>B695&amp;Table4[[#This Row],[Tipo Servicio]]</f>
        <v>NUEVO LEONRETIRO - ENFRIADOR</v>
      </c>
      <c r="B695" t="s">
        <v>83</v>
      </c>
      <c r="C695" t="s">
        <v>239</v>
      </c>
      <c r="D695" t="s">
        <v>45</v>
      </c>
      <c r="F695" s="56" t="s">
        <v>273</v>
      </c>
      <c r="G695" t="s">
        <v>240</v>
      </c>
    </row>
    <row r="696" spans="1:7">
      <c r="A696" t="str">
        <f>B696&amp;Table4[[#This Row],[Tipo Servicio]]</f>
        <v>NUEVO LEONRETIRO - MAQUINA HIELO</v>
      </c>
      <c r="B696" t="s">
        <v>83</v>
      </c>
      <c r="C696" t="s">
        <v>239</v>
      </c>
      <c r="D696" t="s">
        <v>45</v>
      </c>
      <c r="F696" s="56" t="s">
        <v>285</v>
      </c>
      <c r="G696" t="s">
        <v>240</v>
      </c>
    </row>
    <row r="697" spans="1:7">
      <c r="A697" t="str">
        <f>B697&amp;Table4[[#This Row],[Tipo Servicio]]</f>
        <v>NUEVO LEONRETIRO - BARRIL</v>
      </c>
      <c r="B697" t="s">
        <v>83</v>
      </c>
      <c r="C697" t="s">
        <v>239</v>
      </c>
      <c r="D697" t="s">
        <v>45</v>
      </c>
      <c r="F697" s="56" t="s">
        <v>280</v>
      </c>
      <c r="G697" t="s">
        <v>240</v>
      </c>
    </row>
    <row r="698" spans="1:7">
      <c r="A698" t="str">
        <f>B698&amp;Table4[[#This Row],[Tipo Servicio]]</f>
        <v>NUEVO LEONRETIRO - CUARTO FRIO</v>
      </c>
      <c r="B698" t="s">
        <v>83</v>
      </c>
      <c r="C698" t="s">
        <v>239</v>
      </c>
      <c r="D698" t="s">
        <v>45</v>
      </c>
      <c r="F698" s="56" t="s">
        <v>283</v>
      </c>
      <c r="G698" t="s">
        <v>240</v>
      </c>
    </row>
    <row r="699" spans="1:7">
      <c r="A699" t="str">
        <f>B699&amp;Table4[[#This Row],[Tipo Servicio]]</f>
        <v>NUEVO LEONPRIMERA POSICION - ENFRIADOR</v>
      </c>
      <c r="B699" t="s">
        <v>83</v>
      </c>
      <c r="C699" t="s">
        <v>239</v>
      </c>
      <c r="D699" t="s">
        <v>45</v>
      </c>
      <c r="F699" s="56" t="s">
        <v>274</v>
      </c>
      <c r="G699" t="s">
        <v>240</v>
      </c>
    </row>
    <row r="700" spans="1:7">
      <c r="A700" t="str">
        <f>B700&amp;Table4[[#This Row],[Tipo Servicio]]</f>
        <v>NUEVO LEONMTTO CORRECTIVO PISO - BARRIL</v>
      </c>
      <c r="B700" t="s">
        <v>83</v>
      </c>
      <c r="C700" t="s">
        <v>242</v>
      </c>
      <c r="D700" t="s">
        <v>47</v>
      </c>
      <c r="F700" s="56" t="s">
        <v>276</v>
      </c>
      <c r="G700" t="s">
        <v>240</v>
      </c>
    </row>
    <row r="701" spans="1:7">
      <c r="A701" t="str">
        <f>B701&amp;Table4[[#This Row],[Tipo Servicio]]</f>
        <v>NUEVO LEONMTTO PREVENTIVO RUTA - BARRIL</v>
      </c>
      <c r="B701" t="s">
        <v>83</v>
      </c>
      <c r="C701" t="s">
        <v>242</v>
      </c>
      <c r="D701" t="s">
        <v>47</v>
      </c>
      <c r="F701" s="56" t="s">
        <v>277</v>
      </c>
      <c r="G701" t="s">
        <v>240</v>
      </c>
    </row>
    <row r="702" spans="1:7">
      <c r="A702" t="str">
        <f>B702&amp;Table4[[#This Row],[Tipo Servicio]]</f>
        <v>NUEVO LEONRECARGA CO2 - BARRIL</v>
      </c>
      <c r="B702" t="s">
        <v>83</v>
      </c>
      <c r="C702" t="s">
        <v>242</v>
      </c>
      <c r="D702" t="s">
        <v>47</v>
      </c>
      <c r="F702" s="56" t="s">
        <v>278</v>
      </c>
      <c r="G702" t="s">
        <v>240</v>
      </c>
    </row>
    <row r="703" spans="1:7">
      <c r="A703" t="str">
        <f>B703&amp;Table4[[#This Row],[Tipo Servicio]]</f>
        <v>NUEVO LEONREFACCIONES - BARRIL</v>
      </c>
      <c r="B703" t="s">
        <v>83</v>
      </c>
      <c r="C703" t="s">
        <v>242</v>
      </c>
      <c r="D703" t="s">
        <v>47</v>
      </c>
      <c r="F703" s="56" t="s">
        <v>102</v>
      </c>
      <c r="G703" t="s">
        <v>240</v>
      </c>
    </row>
    <row r="704" spans="1:7">
      <c r="A704" t="str">
        <f>B704&amp;Table4[[#This Row],[Tipo Servicio]]</f>
        <v>NUEVO LEONMTTO PREVENTIVO RUTA - CUARTO FRIO</v>
      </c>
      <c r="B704" t="s">
        <v>83</v>
      </c>
      <c r="C704" t="s">
        <v>257</v>
      </c>
      <c r="D704" t="s">
        <v>142</v>
      </c>
      <c r="F704" s="56" t="s">
        <v>281</v>
      </c>
      <c r="G704" t="s">
        <v>240</v>
      </c>
    </row>
    <row r="705" spans="1:7">
      <c r="A705" t="str">
        <f>B705&amp;Table4[[#This Row],[Tipo Servicio]]</f>
        <v>NUEVO LEONREFACCIONES - CUARTO FRIO</v>
      </c>
      <c r="B705" t="s">
        <v>83</v>
      </c>
      <c r="C705" t="s">
        <v>257</v>
      </c>
      <c r="D705" t="s">
        <v>142</v>
      </c>
      <c r="F705" s="56" t="s">
        <v>105</v>
      </c>
      <c r="G705" t="s">
        <v>240</v>
      </c>
    </row>
    <row r="706" spans="1:7">
      <c r="A706" t="str">
        <f>B706&amp;Table4[[#This Row],[Tipo Servicio]]</f>
        <v>NUEVO LEONSERVICIO EXPRESS PISO - ENFRIADOR</v>
      </c>
      <c r="B706" t="s">
        <v>83</v>
      </c>
      <c r="C706" t="s">
        <v>244</v>
      </c>
      <c r="D706" t="s">
        <v>132</v>
      </c>
      <c r="F706" s="56" t="s">
        <v>275</v>
      </c>
      <c r="G706" t="s">
        <v>240</v>
      </c>
    </row>
    <row r="707" spans="1:7">
      <c r="A707" t="str">
        <f>B707&amp;Table4[[#This Row],[Tipo Servicio]]</f>
        <v>NUEVO LEONREFACCIONES - ENFRIADOR</v>
      </c>
      <c r="B707" t="s">
        <v>83</v>
      </c>
      <c r="C707" t="s">
        <v>244</v>
      </c>
      <c r="D707" t="s">
        <v>132</v>
      </c>
      <c r="F707" s="56" t="s">
        <v>41</v>
      </c>
      <c r="G707" t="s">
        <v>240</v>
      </c>
    </row>
    <row r="708" spans="1:7">
      <c r="A708" t="str">
        <f>B708&amp;Table4[[#This Row],[Tipo Servicio]]</f>
        <v>NUEVO LEONMTTO CORRECTIVO PISO - MAQUINA HIELO</v>
      </c>
      <c r="B708" t="s">
        <v>83</v>
      </c>
      <c r="C708" t="s">
        <v>243</v>
      </c>
      <c r="D708" t="s">
        <v>128</v>
      </c>
      <c r="F708" s="56" t="s">
        <v>286</v>
      </c>
      <c r="G708" t="s">
        <v>240</v>
      </c>
    </row>
    <row r="709" spans="1:7">
      <c r="A709" t="str">
        <f>B709&amp;Table4[[#This Row],[Tipo Servicio]]</f>
        <v>NUEVO LEONMTTO PREVENTIVO RUTA - MAQUINA HIELO</v>
      </c>
      <c r="B709" t="s">
        <v>83</v>
      </c>
      <c r="C709" t="s">
        <v>243</v>
      </c>
      <c r="D709" t="s">
        <v>128</v>
      </c>
      <c r="F709" s="56" t="s">
        <v>287</v>
      </c>
      <c r="G709" t="s">
        <v>240</v>
      </c>
    </row>
    <row r="710" spans="1:7">
      <c r="A710" t="str">
        <f>B710&amp;Table4[[#This Row],[Tipo Servicio]]</f>
        <v>NUEVO LEONREFACCIONES - MAQUINA HIELO</v>
      </c>
      <c r="B710" t="s">
        <v>83</v>
      </c>
      <c r="C710" t="s">
        <v>243</v>
      </c>
      <c r="D710" t="s">
        <v>128</v>
      </c>
      <c r="F710" s="56" t="s">
        <v>39</v>
      </c>
      <c r="G710" t="s">
        <v>240</v>
      </c>
    </row>
    <row r="711" spans="1:7">
      <c r="A711" t="str">
        <f>B711&amp;Table4[[#This Row],[Tipo Servicio]]</f>
        <v>BCNINST ENFRIADOR SIX BASE - ENFRIADOR</v>
      </c>
      <c r="B711" t="s">
        <v>64</v>
      </c>
      <c r="C711" t="s">
        <v>288</v>
      </c>
      <c r="D711" t="s">
        <v>289</v>
      </c>
      <c r="F711" s="56" t="s">
        <v>290</v>
      </c>
      <c r="G711" t="s">
        <v>139</v>
      </c>
    </row>
    <row r="712" spans="1:7">
      <c r="A712" t="str">
        <f>B712&amp;Table4[[#This Row],[Tipo Servicio]]</f>
        <v>BCSINST ENFRIADOR SIX BASE - ENFRIADOR</v>
      </c>
      <c r="B712" t="s">
        <v>67</v>
      </c>
      <c r="C712" t="s">
        <v>288</v>
      </c>
      <c r="D712" t="s">
        <v>289</v>
      </c>
      <c r="F712" s="56" t="s">
        <v>290</v>
      </c>
      <c r="G712" t="s">
        <v>139</v>
      </c>
    </row>
    <row r="713" spans="1:7">
      <c r="A713" t="str">
        <f>B713&amp;Table4[[#This Row],[Tipo Servicio]]</f>
        <v>CHIHUAHUAINST ENFRIADOR SIX BASE - ENFRIADOR</v>
      </c>
      <c r="B713" t="s">
        <v>70</v>
      </c>
      <c r="C713" t="s">
        <v>288</v>
      </c>
      <c r="D713" t="s">
        <v>289</v>
      </c>
      <c r="F713" s="56" t="s">
        <v>290</v>
      </c>
      <c r="G713" t="str">
        <f>_xlfn.XLOOKUP(Table4[[#This Row],[GZ]],'[1]BASE TRADE'!$R:$R,'[1]BASE TRADE'!$Q:$Q)</f>
        <v>1. Northwest</v>
      </c>
    </row>
    <row r="714" spans="1:7">
      <c r="A714" t="str">
        <f>B714&amp;Table4[[#This Row],[Tipo Servicio]]</f>
        <v>JUAREZINST ENFRIADOR SIX BASE - ENFRIADOR</v>
      </c>
      <c r="B714" t="s">
        <v>81</v>
      </c>
      <c r="C714" t="s">
        <v>288</v>
      </c>
      <c r="D714" t="s">
        <v>289</v>
      </c>
      <c r="F714" s="56" t="s">
        <v>290</v>
      </c>
      <c r="G714" t="s">
        <v>139</v>
      </c>
    </row>
    <row r="715" spans="1:7">
      <c r="A715" t="str">
        <f>B715&amp;Table4[[#This Row],[Tipo Servicio]]</f>
        <v>SINALOAINST ENFRIADOR SIX BASE - ENFRIADOR</v>
      </c>
      <c r="B715" t="s">
        <v>88</v>
      </c>
      <c r="C715" t="s">
        <v>288</v>
      </c>
      <c r="D715" t="s">
        <v>289</v>
      </c>
      <c r="F715" s="56" t="s">
        <v>290</v>
      </c>
      <c r="G715" t="s">
        <v>139</v>
      </c>
    </row>
    <row r="716" spans="1:7">
      <c r="A716" t="str">
        <f>B716&amp;Table4[[#This Row],[Tipo Servicio]]</f>
        <v>SONORAINST ENFRIADOR SIX BASE - ENFRIADOR</v>
      </c>
      <c r="B716" t="s">
        <v>90</v>
      </c>
      <c r="C716" t="s">
        <v>288</v>
      </c>
      <c r="D716" t="s">
        <v>289</v>
      </c>
      <c r="F716" s="56" t="s">
        <v>290</v>
      </c>
      <c r="G716" t="s">
        <v>139</v>
      </c>
    </row>
    <row r="717" spans="1:7">
      <c r="A717" t="str">
        <f>B717&amp;Table4[[#This Row],[Tipo Servicio]]</f>
        <v>BCNINST MH SIX BASE - MAQUINA HIELO</v>
      </c>
      <c r="B717" t="s">
        <v>64</v>
      </c>
      <c r="C717" t="s">
        <v>288</v>
      </c>
      <c r="D717" t="s">
        <v>289</v>
      </c>
      <c r="F717" s="56" t="s">
        <v>291</v>
      </c>
      <c r="G717" t="s">
        <v>139</v>
      </c>
    </row>
    <row r="718" spans="1:7">
      <c r="A718" t="str">
        <f>B718&amp;Table4[[#This Row],[Tipo Servicio]]</f>
        <v>BCSINST MH SIX BASE - MAQUINA HIELO</v>
      </c>
      <c r="B718" t="s">
        <v>67</v>
      </c>
      <c r="C718" t="s">
        <v>288</v>
      </c>
      <c r="D718" t="s">
        <v>289</v>
      </c>
      <c r="F718" s="56" t="s">
        <v>291</v>
      </c>
      <c r="G718" t="s">
        <v>139</v>
      </c>
    </row>
    <row r="719" spans="1:7">
      <c r="A719" t="str">
        <f>B719&amp;Table4[[#This Row],[Tipo Servicio]]</f>
        <v>CHIHUAHUAINST MH SIX BASE - MAQUINA HIELO</v>
      </c>
      <c r="B719" t="s">
        <v>70</v>
      </c>
      <c r="C719" t="s">
        <v>288</v>
      </c>
      <c r="D719" t="s">
        <v>289</v>
      </c>
      <c r="F719" s="56" t="s">
        <v>291</v>
      </c>
      <c r="G719" t="s">
        <v>139</v>
      </c>
    </row>
    <row r="720" spans="1:7">
      <c r="A720" t="str">
        <f>B720&amp;Table4[[#This Row],[Tipo Servicio]]</f>
        <v>JUAREZINST MH SIX BASE - MAQUINA HIELO</v>
      </c>
      <c r="B720" t="s">
        <v>81</v>
      </c>
      <c r="C720" t="s">
        <v>288</v>
      </c>
      <c r="D720" t="s">
        <v>289</v>
      </c>
      <c r="F720" s="56" t="s">
        <v>291</v>
      </c>
      <c r="G720" t="s">
        <v>139</v>
      </c>
    </row>
    <row r="721" spans="1:7">
      <c r="A721" t="str">
        <f>B721&amp;Table4[[#This Row],[Tipo Servicio]]</f>
        <v>SINALOAINST MH SIX BASE - MAQUINA HIELO</v>
      </c>
      <c r="B721" t="s">
        <v>88</v>
      </c>
      <c r="C721" t="s">
        <v>288</v>
      </c>
      <c r="D721" t="s">
        <v>289</v>
      </c>
      <c r="F721" s="56" t="s">
        <v>291</v>
      </c>
      <c r="G721" t="s">
        <v>139</v>
      </c>
    </row>
    <row r="722" spans="1:7">
      <c r="A722" t="str">
        <f>B722&amp;Table4[[#This Row],[Tipo Servicio]]</f>
        <v>SONORAINST MH SIX BASE - MAQUINA HIELO</v>
      </c>
      <c r="B722" t="s">
        <v>90</v>
      </c>
      <c r="C722" t="s">
        <v>288</v>
      </c>
      <c r="D722" t="s">
        <v>289</v>
      </c>
      <c r="F722" s="56" t="s">
        <v>291</v>
      </c>
      <c r="G722" t="s">
        <v>139</v>
      </c>
    </row>
    <row r="723" spans="1:7">
      <c r="A723" t="str">
        <f>B723&amp;Table4[[#This Row],[Tipo Servicio]]</f>
        <v>COAHUILAINST ENFRIADOR SIX BASE - ENFRIADOR</v>
      </c>
      <c r="B723" t="s">
        <v>72</v>
      </c>
      <c r="C723" t="s">
        <v>292</v>
      </c>
      <c r="D723" t="s">
        <v>289</v>
      </c>
      <c r="F723" t="s">
        <v>290</v>
      </c>
      <c r="G723" t="s">
        <v>240</v>
      </c>
    </row>
    <row r="724" spans="1:7">
      <c r="A724" t="str">
        <f>B724&amp;Table4[[#This Row],[Tipo Servicio]]</f>
        <v>DURANGOINST ENFRIADOR SIX BASE - ENFRIADOR</v>
      </c>
      <c r="B724" t="s">
        <v>73</v>
      </c>
      <c r="C724" t="s">
        <v>292</v>
      </c>
      <c r="D724" t="s">
        <v>289</v>
      </c>
      <c r="F724" t="s">
        <v>290</v>
      </c>
      <c r="G724" t="s">
        <v>240</v>
      </c>
    </row>
    <row r="725" spans="1:7">
      <c r="A725" t="str">
        <f>B725&amp;Table4[[#This Row],[Tipo Servicio]]</f>
        <v>NUEVO LEONINST ENFRIADOR SIX BASE - ENFRIADOR</v>
      </c>
      <c r="B725" t="s">
        <v>83</v>
      </c>
      <c r="C725" t="s">
        <v>292</v>
      </c>
      <c r="D725" t="s">
        <v>289</v>
      </c>
      <c r="F725" t="s">
        <v>290</v>
      </c>
      <c r="G725" t="s">
        <v>240</v>
      </c>
    </row>
    <row r="726" spans="1:7">
      <c r="A726" t="str">
        <f>B726&amp;Table4[[#This Row],[Tipo Servicio]]</f>
        <v>TAMAULIPAS NORTEINST ENFRIADOR SIX BASE - ENFRIADOR</v>
      </c>
      <c r="B726" t="s">
        <v>94</v>
      </c>
      <c r="C726" t="s">
        <v>292</v>
      </c>
      <c r="D726" t="s">
        <v>289</v>
      </c>
      <c r="F726" t="s">
        <v>290</v>
      </c>
      <c r="G726" t="s">
        <v>240</v>
      </c>
    </row>
    <row r="727" spans="1:7">
      <c r="A727" t="str">
        <f>B727&amp;Table4[[#This Row],[Tipo Servicio]]</f>
        <v>TAMAULIPAS SUR-VER NTEINST ENFRIADOR SIX BASE - ENFRIADOR</v>
      </c>
      <c r="B727" t="s">
        <v>6</v>
      </c>
      <c r="C727" t="s">
        <v>292</v>
      </c>
      <c r="D727" t="s">
        <v>289</v>
      </c>
      <c r="F727" t="s">
        <v>290</v>
      </c>
      <c r="G727" t="s">
        <v>240</v>
      </c>
    </row>
    <row r="728" spans="1:7">
      <c r="A728" t="str">
        <f>B728&amp;Table4[[#This Row],[Tipo Servicio]]</f>
        <v>COAHUILAINST MH SIX BASE - MAQUINA HIELO</v>
      </c>
      <c r="B728" t="s">
        <v>72</v>
      </c>
      <c r="C728" t="s">
        <v>292</v>
      </c>
      <c r="D728" t="s">
        <v>289</v>
      </c>
      <c r="F728" s="56" t="s">
        <v>291</v>
      </c>
      <c r="G728" t="s">
        <v>240</v>
      </c>
    </row>
    <row r="729" spans="1:7">
      <c r="A729" t="str">
        <f>B729&amp;Table4[[#This Row],[Tipo Servicio]]</f>
        <v>DURANGOINST MH SIX BASE - MAQUINA HIELO</v>
      </c>
      <c r="B729" t="s">
        <v>73</v>
      </c>
      <c r="C729" t="s">
        <v>292</v>
      </c>
      <c r="D729" t="s">
        <v>289</v>
      </c>
      <c r="F729" s="56" t="s">
        <v>291</v>
      </c>
      <c r="G729" t="s">
        <v>240</v>
      </c>
    </row>
    <row r="730" spans="1:7">
      <c r="A730" t="str">
        <f>B730&amp;Table4[[#This Row],[Tipo Servicio]]</f>
        <v>NUEVO LEONINST MH SIX BASE - MAQUINA HIELO</v>
      </c>
      <c r="B730" t="s">
        <v>83</v>
      </c>
      <c r="C730" t="s">
        <v>292</v>
      </c>
      <c r="D730" t="s">
        <v>289</v>
      </c>
      <c r="F730" s="56" t="s">
        <v>291</v>
      </c>
      <c r="G730" t="s">
        <v>240</v>
      </c>
    </row>
    <row r="731" spans="1:7">
      <c r="A731" t="str">
        <f>B731&amp;Table4[[#This Row],[Tipo Servicio]]</f>
        <v>TAMAULIPAS NORTEINST MH SIX BASE - MAQUINA HIELO</v>
      </c>
      <c r="B731" t="s">
        <v>94</v>
      </c>
      <c r="C731" t="s">
        <v>292</v>
      </c>
      <c r="D731" t="s">
        <v>289</v>
      </c>
      <c r="F731" s="56" t="s">
        <v>291</v>
      </c>
      <c r="G731" t="s">
        <v>240</v>
      </c>
    </row>
    <row r="732" spans="1:7">
      <c r="A732" t="str">
        <f>B732&amp;Table4[[#This Row],[Tipo Servicio]]</f>
        <v>TAMAULIPAS SUR-VER NTEINST MH SIX BASE - MAQUINA HIELO</v>
      </c>
      <c r="B732" t="s">
        <v>6</v>
      </c>
      <c r="C732" t="s">
        <v>292</v>
      </c>
      <c r="D732" t="s">
        <v>289</v>
      </c>
      <c r="F732" s="56" t="s">
        <v>291</v>
      </c>
      <c r="G732" t="s">
        <v>240</v>
      </c>
    </row>
    <row r="733" spans="1:7">
      <c r="A733" t="str">
        <f>B733&amp;Table4[[#This Row],[Tipo Servicio]]</f>
        <v>AGS-ZAC-SLPINST ENFRIADOR SIX BASE - ENFRIADOR</v>
      </c>
      <c r="B733" t="s">
        <v>61</v>
      </c>
      <c r="C733" t="s">
        <v>293</v>
      </c>
      <c r="D733" t="s">
        <v>289</v>
      </c>
      <c r="F733" s="56" t="s">
        <v>290</v>
      </c>
      <c r="G733" t="s">
        <v>219</v>
      </c>
    </row>
    <row r="734" spans="1:7">
      <c r="A734" t="str">
        <f>B734&amp;Table4[[#This Row],[Tipo Servicio]]</f>
        <v>JALISCO-COLIMA-NAYARITINST ENFRIADOR SIX BASE - ENFRIADOR</v>
      </c>
      <c r="B734" t="s">
        <v>80</v>
      </c>
      <c r="C734" t="s">
        <v>293</v>
      </c>
      <c r="D734" t="s">
        <v>289</v>
      </c>
      <c r="F734" s="56" t="s">
        <v>290</v>
      </c>
      <c r="G734" t="s">
        <v>219</v>
      </c>
    </row>
    <row r="735" spans="1:7">
      <c r="A735" t="str">
        <f>B735&amp;Table4[[#This Row],[Tipo Servicio]]</f>
        <v>MICHOACANINST ENFRIADOR SIX BASE - ENFRIADOR</v>
      </c>
      <c r="B735" t="s">
        <v>82</v>
      </c>
      <c r="C735" t="s">
        <v>293</v>
      </c>
      <c r="D735" t="s">
        <v>289</v>
      </c>
      <c r="F735" s="56" t="s">
        <v>290</v>
      </c>
      <c r="G735" t="s">
        <v>219</v>
      </c>
    </row>
    <row r="736" spans="1:7">
      <c r="A736" t="str">
        <f>B736&amp;Table4[[#This Row],[Tipo Servicio]]</f>
        <v>QRO-GTOINST ENFRIADOR SIX BASE - ENFRIADOR</v>
      </c>
      <c r="B736" t="s">
        <v>76</v>
      </c>
      <c r="C736" t="s">
        <v>293</v>
      </c>
      <c r="D736" t="s">
        <v>289</v>
      </c>
      <c r="F736" s="56" t="s">
        <v>290</v>
      </c>
      <c r="G736" t="s">
        <v>219</v>
      </c>
    </row>
    <row r="737" spans="1:7">
      <c r="A737" t="str">
        <f>B737&amp;Table4[[#This Row],[Tipo Servicio]]</f>
        <v>JALISCO-COLIMA-NAYARITINST MH SIX BASE - MAQUINA HIELO</v>
      </c>
      <c r="B737" t="s">
        <v>80</v>
      </c>
      <c r="C737" t="s">
        <v>293</v>
      </c>
      <c r="D737" t="s">
        <v>289</v>
      </c>
      <c r="F737" s="56" t="s">
        <v>291</v>
      </c>
      <c r="G737" t="s">
        <v>219</v>
      </c>
    </row>
    <row r="738" spans="1:7">
      <c r="A738" t="str">
        <f>B738&amp;Table4[[#This Row],[Tipo Servicio]]</f>
        <v>MICHOACANINST MH SIX BASE - MAQUINA HIELO</v>
      </c>
      <c r="B738" t="s">
        <v>82</v>
      </c>
      <c r="C738" t="s">
        <v>293</v>
      </c>
      <c r="D738" t="s">
        <v>289</v>
      </c>
      <c r="F738" s="56" t="s">
        <v>291</v>
      </c>
      <c r="G738" t="s">
        <v>219</v>
      </c>
    </row>
    <row r="739" spans="1:7">
      <c r="A739" t="str">
        <f>B739&amp;Table4[[#This Row],[Tipo Servicio]]</f>
        <v>QRO-GTOINST MH SIX BASE - MAQUINA HIELO</v>
      </c>
      <c r="B739" t="s">
        <v>76</v>
      </c>
      <c r="C739" t="s">
        <v>293</v>
      </c>
      <c r="D739" t="s">
        <v>289</v>
      </c>
      <c r="F739" s="56" t="s">
        <v>291</v>
      </c>
      <c r="G739" t="s">
        <v>219</v>
      </c>
    </row>
    <row r="740" spans="1:7">
      <c r="A740" t="str">
        <f>B740&amp;Table4[[#This Row],[Tipo Servicio]]</f>
        <v>AGS-ZAC-SLPINST MH SIX BASE - MAQUINA HIELO</v>
      </c>
      <c r="B740" t="s">
        <v>61</v>
      </c>
      <c r="C740" t="s">
        <v>293</v>
      </c>
      <c r="D740" t="s">
        <v>289</v>
      </c>
      <c r="F740" s="56" t="s">
        <v>291</v>
      </c>
      <c r="G740" t="s">
        <v>219</v>
      </c>
    </row>
    <row r="741" spans="1:7">
      <c r="A741" t="str">
        <f>B741&amp;Table4[[#This Row],[Tipo Servicio]]</f>
        <v>EDO DE MEXICOINST ENFRIADOR SIX BASE - ENFRIADOR</v>
      </c>
      <c r="B741" t="s">
        <v>74</v>
      </c>
      <c r="C741" t="s">
        <v>294</v>
      </c>
      <c r="D741" t="s">
        <v>289</v>
      </c>
      <c r="F741" s="56" t="s">
        <v>290</v>
      </c>
      <c r="G741" t="s">
        <v>201</v>
      </c>
    </row>
    <row r="742" spans="1:7">
      <c r="A742" t="str">
        <f>B742&amp;Table4[[#This Row],[Tipo Servicio]]</f>
        <v>GRO-MORINST ENFRIADOR SIX BASE - ENFRIADOR</v>
      </c>
      <c r="B742" t="s">
        <v>77</v>
      </c>
      <c r="C742" t="s">
        <v>294</v>
      </c>
      <c r="D742" t="s">
        <v>289</v>
      </c>
      <c r="F742" s="56" t="s">
        <v>290</v>
      </c>
      <c r="G742" t="s">
        <v>201</v>
      </c>
    </row>
    <row r="743" spans="1:7">
      <c r="A743" t="str">
        <f>B743&amp;Table4[[#This Row],[Tipo Servicio]]</f>
        <v>HIDALGOINST ENFRIADOR SIX BASE - ENFRIADOR</v>
      </c>
      <c r="B743" t="s">
        <v>79</v>
      </c>
      <c r="C743" t="s">
        <v>294</v>
      </c>
      <c r="D743" t="s">
        <v>289</v>
      </c>
      <c r="F743" s="56" t="s">
        <v>290</v>
      </c>
      <c r="G743" t="str">
        <f>_xlfn.XLOOKUP(Table4[[#This Row],[GZ]],'[1]BASE TRADE'!$R:$R,'[1]BASE TRADE'!$Q:$Q)</f>
        <v>4. Center</v>
      </c>
    </row>
    <row r="744" spans="1:7">
      <c r="A744" t="str">
        <f>B744&amp;Table4[[#This Row],[Tipo Servicio]]</f>
        <v>PUEBLA-TLAXCALAINST ENFRIADOR SIX BASE - ENFRIADOR</v>
      </c>
      <c r="B744" t="s">
        <v>85</v>
      </c>
      <c r="C744" t="s">
        <v>294</v>
      </c>
      <c r="D744" t="s">
        <v>289</v>
      </c>
      <c r="F744" s="56" t="s">
        <v>290</v>
      </c>
      <c r="G744" t="e">
        <f>_xlfn.XLOOKUP(Table4[[#This Row],[GZ]],'[1]BASE TRADE'!$R:$R,'[1]BASE TRADE'!$Q:$Q)</f>
        <v>#N/A</v>
      </c>
    </row>
    <row r="745" spans="1:7">
      <c r="A745" t="str">
        <f>B745&amp;Table4[[#This Row],[Tipo Servicio]]</f>
        <v>VDMINST ENFRIADOR SIX BASE - ENFRIADOR</v>
      </c>
      <c r="B745" t="s">
        <v>96</v>
      </c>
      <c r="C745" t="s">
        <v>294</v>
      </c>
      <c r="D745" t="s">
        <v>289</v>
      </c>
      <c r="F745" s="56" t="s">
        <v>290</v>
      </c>
      <c r="G745" t="str">
        <f>_xlfn.XLOOKUP(Table4[[#This Row],[GZ]],'[1]BASE TRADE'!$R:$R,'[1]BASE TRADE'!$Q:$Q)</f>
        <v>4. Center</v>
      </c>
    </row>
    <row r="746" spans="1:7">
      <c r="A746" t="str">
        <f>B746&amp;Table4[[#This Row],[Tipo Servicio]]</f>
        <v>EDO DE MEXICOINST MH SIX BASE - MAQUINA HIELO</v>
      </c>
      <c r="B746" t="s">
        <v>74</v>
      </c>
      <c r="C746" t="s">
        <v>294</v>
      </c>
      <c r="D746" t="s">
        <v>289</v>
      </c>
      <c r="F746" s="56" t="s">
        <v>291</v>
      </c>
      <c r="G746" t="s">
        <v>201</v>
      </c>
    </row>
    <row r="747" spans="1:7">
      <c r="A747" t="str">
        <f>B747&amp;Table4[[#This Row],[Tipo Servicio]]</f>
        <v>HIDALGOINST MH SIX BASE - MAQUINA HIELO</v>
      </c>
      <c r="B747" t="s">
        <v>79</v>
      </c>
      <c r="C747" t="s">
        <v>294</v>
      </c>
      <c r="D747" t="s">
        <v>289</v>
      </c>
      <c r="F747" s="56" t="s">
        <v>291</v>
      </c>
      <c r="G747" t="s">
        <v>201</v>
      </c>
    </row>
    <row r="748" spans="1:7">
      <c r="A748" t="str">
        <f>B748&amp;Table4[[#This Row],[Tipo Servicio]]</f>
        <v>PUEBLA-TLAXCALAINST MH SIX BASE - MAQUINA HIELO</v>
      </c>
      <c r="B748" t="s">
        <v>85</v>
      </c>
      <c r="C748" t="s">
        <v>294</v>
      </c>
      <c r="D748" t="s">
        <v>289</v>
      </c>
      <c r="F748" s="56" t="s">
        <v>291</v>
      </c>
      <c r="G748" t="s">
        <v>201</v>
      </c>
    </row>
    <row r="749" spans="1:7">
      <c r="A749" t="str">
        <f>B749&amp;Table4[[#This Row],[Tipo Servicio]]</f>
        <v>VDMINST MH SIX BASE - MAQUINA HIELO</v>
      </c>
      <c r="B749" t="s">
        <v>96</v>
      </c>
      <c r="C749" t="s">
        <v>294</v>
      </c>
      <c r="D749" t="s">
        <v>289</v>
      </c>
      <c r="F749" s="56" t="s">
        <v>291</v>
      </c>
      <c r="G749" t="s">
        <v>201</v>
      </c>
    </row>
    <row r="750" spans="1:7">
      <c r="A750" t="str">
        <f>B750&amp;Table4[[#This Row],[Tipo Servicio]]</f>
        <v>GRO-MORINST MH SIX BASE - MAQUINA HIELO</v>
      </c>
      <c r="B750" t="s">
        <v>77</v>
      </c>
      <c r="C750" t="s">
        <v>294</v>
      </c>
      <c r="D750" t="s">
        <v>289</v>
      </c>
      <c r="F750" s="56" t="s">
        <v>291</v>
      </c>
      <c r="G750" t="s">
        <v>201</v>
      </c>
    </row>
    <row r="751" spans="1:7">
      <c r="A751" t="str">
        <f>B751&amp;Table4[[#This Row],[Tipo Servicio]]</f>
        <v>FRANQUICIA CHIAPASINST ENFRIADOR SIX BASE - ENFRIADOR</v>
      </c>
      <c r="B751" t="s">
        <v>75</v>
      </c>
      <c r="C751" t="s">
        <v>295</v>
      </c>
      <c r="D751" t="s">
        <v>289</v>
      </c>
      <c r="F751" s="56" t="s">
        <v>290</v>
      </c>
      <c r="G751" t="s">
        <v>176</v>
      </c>
    </row>
    <row r="752" spans="1:7">
      <c r="A752" t="str">
        <f>B752&amp;Table4[[#This Row],[Tipo Servicio]]</f>
        <v>OAXACAINST ENFRIADOR SIX BASE - ENFRIADOR</v>
      </c>
      <c r="B752" t="s">
        <v>84</v>
      </c>
      <c r="C752" t="s">
        <v>295</v>
      </c>
      <c r="D752" t="s">
        <v>289</v>
      </c>
      <c r="F752" s="56" t="s">
        <v>290</v>
      </c>
      <c r="G752" t="s">
        <v>176</v>
      </c>
    </row>
    <row r="753" spans="1:9">
      <c r="A753" t="str">
        <f>B753&amp;Table4[[#This Row],[Tipo Servicio]]</f>
        <v>QROOINST ENFRIADOR SIX BASE - ENFRIADOR</v>
      </c>
      <c r="B753" t="s">
        <v>86</v>
      </c>
      <c r="C753" t="s">
        <v>295</v>
      </c>
      <c r="D753" t="s">
        <v>289</v>
      </c>
      <c r="F753" s="56" t="s">
        <v>290</v>
      </c>
      <c r="G753" t="s">
        <v>176</v>
      </c>
    </row>
    <row r="754" spans="1:9">
      <c r="A754" t="str">
        <f>B754&amp;Table4[[#This Row],[Tipo Servicio]]</f>
        <v>TABASCO-VER SURINST ENFRIADOR SIX BASE - ENFRIADOR</v>
      </c>
      <c r="B754" t="s">
        <v>92</v>
      </c>
      <c r="C754" t="s">
        <v>295</v>
      </c>
      <c r="D754" t="s">
        <v>289</v>
      </c>
      <c r="F754" s="56" t="s">
        <v>290</v>
      </c>
      <c r="G754" t="s">
        <v>176</v>
      </c>
    </row>
    <row r="755" spans="1:9">
      <c r="A755" t="str">
        <f>B755&amp;Table4[[#This Row],[Tipo Servicio]]</f>
        <v>VERACRUZ CENTROINST ENFRIADOR SIX BASE - ENFRIADOR</v>
      </c>
      <c r="B755" t="s">
        <v>98</v>
      </c>
      <c r="C755" t="s">
        <v>295</v>
      </c>
      <c r="D755" t="s">
        <v>289</v>
      </c>
      <c r="F755" s="56" t="s">
        <v>290</v>
      </c>
      <c r="G755" t="s">
        <v>176</v>
      </c>
    </row>
    <row r="756" spans="1:9">
      <c r="A756" t="str">
        <f>B756&amp;Table4[[#This Row],[Tipo Servicio]]</f>
        <v>YUCAMINST ENFRIADOR SIX BASE - ENFRIADOR</v>
      </c>
      <c r="B756" t="s">
        <v>100</v>
      </c>
      <c r="C756" t="s">
        <v>295</v>
      </c>
      <c r="D756" t="s">
        <v>289</v>
      </c>
      <c r="F756" s="56" t="s">
        <v>290</v>
      </c>
      <c r="G756" t="s">
        <v>176</v>
      </c>
    </row>
    <row r="757" spans="1:9">
      <c r="A757" t="str">
        <f>B757&amp;Table4[[#This Row],[Tipo Servicio]]</f>
        <v>FRANQUICIA CHIAPASINST MH SIX BASE - MAQUINA HIELO</v>
      </c>
      <c r="B757" t="s">
        <v>75</v>
      </c>
      <c r="C757" t="s">
        <v>295</v>
      </c>
      <c r="D757" t="s">
        <v>289</v>
      </c>
      <c r="F757" s="56" t="s">
        <v>291</v>
      </c>
      <c r="G757" t="s">
        <v>176</v>
      </c>
    </row>
    <row r="758" spans="1:9">
      <c r="A758" t="str">
        <f>B758&amp;Table4[[#This Row],[Tipo Servicio]]</f>
        <v>OAXACAINST MH SIX BASE - MAQUINA HIELO</v>
      </c>
      <c r="B758" t="s">
        <v>84</v>
      </c>
      <c r="C758" t="s">
        <v>295</v>
      </c>
      <c r="D758" t="s">
        <v>289</v>
      </c>
      <c r="F758" s="56" t="s">
        <v>291</v>
      </c>
      <c r="G758" t="s">
        <v>176</v>
      </c>
    </row>
    <row r="759" spans="1:9">
      <c r="A759" t="str">
        <f>B759&amp;Table4[[#This Row],[Tipo Servicio]]</f>
        <v>QROOINST MH SIX BASE - MAQUINA HIELO</v>
      </c>
      <c r="B759" t="s">
        <v>86</v>
      </c>
      <c r="C759" t="s">
        <v>295</v>
      </c>
      <c r="D759" t="s">
        <v>289</v>
      </c>
      <c r="F759" s="56" t="s">
        <v>291</v>
      </c>
      <c r="G759" t="s">
        <v>176</v>
      </c>
    </row>
    <row r="760" spans="1:9">
      <c r="A760" t="str">
        <f>B760&amp;Table4[[#This Row],[Tipo Servicio]]</f>
        <v>TABASCO-VER SURINST MH SIX BASE - MAQUINA HIELO</v>
      </c>
      <c r="B760" t="s">
        <v>92</v>
      </c>
      <c r="C760" t="s">
        <v>295</v>
      </c>
      <c r="D760" t="s">
        <v>289</v>
      </c>
      <c r="F760" s="56" t="s">
        <v>291</v>
      </c>
      <c r="G760" t="s">
        <v>176</v>
      </c>
    </row>
    <row r="761" spans="1:9">
      <c r="A761" t="str">
        <f>B761&amp;Table4[[#This Row],[Tipo Servicio]]</f>
        <v>VERACRUZ CENTROINST MH SIX BASE - MAQUINA HIELO</v>
      </c>
      <c r="B761" t="s">
        <v>98</v>
      </c>
      <c r="C761" t="s">
        <v>295</v>
      </c>
      <c r="D761" t="s">
        <v>289</v>
      </c>
      <c r="F761" s="56" t="s">
        <v>291</v>
      </c>
      <c r="G761" t="s">
        <v>176</v>
      </c>
    </row>
    <row r="762" spans="1:9">
      <c r="A762" t="str">
        <f>B762&amp;Table4[[#This Row],[Tipo Servicio]]</f>
        <v>YUCAMINST MH SIX BASE - MAQUINA HIELO</v>
      </c>
      <c r="B762" t="s">
        <v>100</v>
      </c>
      <c r="C762" t="s">
        <v>295</v>
      </c>
      <c r="D762" t="s">
        <v>289</v>
      </c>
      <c r="F762" s="56" t="s">
        <v>291</v>
      </c>
      <c r="G762" t="s">
        <v>176</v>
      </c>
    </row>
    <row r="763" spans="1:9">
      <c r="A763" t="str">
        <f>B763&amp;Table4[[#This Row],[Tipo Servicio]]</f>
        <v>COAHUILAFLETES-TALLER - MOVIMIENTOS</v>
      </c>
      <c r="B763" t="s">
        <v>72</v>
      </c>
      <c r="C763" t="s">
        <v>137</v>
      </c>
      <c r="D763" t="s">
        <v>45</v>
      </c>
      <c r="F763" s="56" t="s">
        <v>31</v>
      </c>
      <c r="G763" t="s">
        <v>240</v>
      </c>
      <c r="I763" s="59"/>
    </row>
    <row r="764" spans="1:9">
      <c r="A764" t="str">
        <f>B764&amp;Table4[[#This Row],[Tipo Servicio]]</f>
        <v>JUAREZFLETES-TALLER - MOVIMIENTOS</v>
      </c>
      <c r="B764" t="s">
        <v>81</v>
      </c>
      <c r="C764" t="s">
        <v>138</v>
      </c>
      <c r="D764" t="s">
        <v>45</v>
      </c>
      <c r="F764" s="56" t="s">
        <v>31</v>
      </c>
      <c r="G764" t="s">
        <v>139</v>
      </c>
    </row>
    <row r="765" spans="1:9">
      <c r="A765" t="str">
        <f>B765&amp;Table4[[#This Row],[Tipo Servicio]]</f>
        <v>BCSFLETES-TALLER - MOVIMIENTOS</v>
      </c>
      <c r="B765" t="s">
        <v>67</v>
      </c>
      <c r="C765" t="s">
        <v>151</v>
      </c>
      <c r="D765" t="s">
        <v>45</v>
      </c>
      <c r="F765" s="56" t="s">
        <v>31</v>
      </c>
      <c r="G765" t="s">
        <v>139</v>
      </c>
    </row>
    <row r="766" spans="1:9">
      <c r="A766" t="str">
        <f>B766&amp;Table4[[#This Row],[Tipo Servicio]]</f>
        <v>SONORAFLETES-TALLER - MOVIMIENTOS</v>
      </c>
      <c r="B766" t="s">
        <v>90</v>
      </c>
      <c r="C766" t="s">
        <v>152</v>
      </c>
      <c r="D766" t="s">
        <v>45</v>
      </c>
      <c r="F766" s="56" t="s">
        <v>31</v>
      </c>
      <c r="G766" t="s">
        <v>139</v>
      </c>
    </row>
    <row r="767" spans="1:9">
      <c r="A767" t="str">
        <f>B767&amp;Table4[[#This Row],[Tipo Servicio]]</f>
        <v>CHIHUAHUAFLETES-TALLER - MOVIMIENTOS</v>
      </c>
      <c r="B767" t="s">
        <v>70</v>
      </c>
      <c r="C767" t="s">
        <v>163</v>
      </c>
      <c r="D767" t="s">
        <v>45</v>
      </c>
      <c r="F767" s="56" t="s">
        <v>31</v>
      </c>
      <c r="G767" t="s">
        <v>139</v>
      </c>
    </row>
    <row r="768" spans="1:9">
      <c r="A768" t="str">
        <f>B768&amp;Table4[[#This Row],[Tipo Servicio]]</f>
        <v>SINALOAFLETES-TALLER - MOVIMIENTOS</v>
      </c>
      <c r="B768" t="s">
        <v>88</v>
      </c>
      <c r="C768" t="s">
        <v>164</v>
      </c>
      <c r="D768" t="s">
        <v>45</v>
      </c>
      <c r="F768" s="56" t="s">
        <v>31</v>
      </c>
      <c r="G768" t="s">
        <v>139</v>
      </c>
    </row>
    <row r="769" spans="1:7">
      <c r="A769" t="str">
        <f>B769&amp;Table4[[#This Row],[Tipo Servicio]]</f>
        <v>BCNFLETES-TALLER - MOVIMIENTOS</v>
      </c>
      <c r="B769" t="s">
        <v>64</v>
      </c>
      <c r="C769" t="s">
        <v>174</v>
      </c>
      <c r="D769" t="s">
        <v>45</v>
      </c>
      <c r="F769" s="56" t="s">
        <v>31</v>
      </c>
      <c r="G769" t="s">
        <v>139</v>
      </c>
    </row>
    <row r="770" spans="1:7">
      <c r="A770" t="str">
        <f>B770&amp;Table4[[#This Row],[Tipo Servicio]]</f>
        <v>YUCAMFLETES-TALLER - MOVIMIENTOS</v>
      </c>
      <c r="B770" t="s">
        <v>100</v>
      </c>
      <c r="C770" t="s">
        <v>179</v>
      </c>
      <c r="D770" t="s">
        <v>45</v>
      </c>
      <c r="F770" s="56" t="s">
        <v>31</v>
      </c>
      <c r="G770" t="s">
        <v>176</v>
      </c>
    </row>
    <row r="771" spans="1:7">
      <c r="A771" t="str">
        <f>B771&amp;Table4[[#This Row],[Tipo Servicio]]</f>
        <v>PUEBLA-TLAXCALAFLETES-TALLER - MOVIMIENTOS</v>
      </c>
      <c r="B771" t="s">
        <v>85</v>
      </c>
      <c r="C771" t="s">
        <v>180</v>
      </c>
      <c r="D771" t="s">
        <v>45</v>
      </c>
      <c r="F771" s="56" t="s">
        <v>31</v>
      </c>
      <c r="G771" t="s">
        <v>201</v>
      </c>
    </row>
    <row r="772" spans="1:7">
      <c r="A772" t="str">
        <f>B772&amp;Table4[[#This Row],[Tipo Servicio]]</f>
        <v>VERACRUZ CENTROFLETES-TALLER - MOVIMIENTOS</v>
      </c>
      <c r="B772" t="s">
        <v>98</v>
      </c>
      <c r="C772" t="s">
        <v>184</v>
      </c>
      <c r="D772" t="s">
        <v>45</v>
      </c>
      <c r="F772" s="56" t="s">
        <v>31</v>
      </c>
      <c r="G772" t="s">
        <v>176</v>
      </c>
    </row>
    <row r="773" spans="1:7">
      <c r="A773" t="str">
        <f>B773&amp;Table4[[#This Row],[Tipo Servicio]]</f>
        <v>QROOFLETES-TALLER - MOVIMIENTOS</v>
      </c>
      <c r="B773" t="s">
        <v>86</v>
      </c>
      <c r="C773" t="s">
        <v>191</v>
      </c>
      <c r="D773" t="s">
        <v>45</v>
      </c>
      <c r="F773" s="56" t="s">
        <v>31</v>
      </c>
      <c r="G773" t="s">
        <v>176</v>
      </c>
    </row>
    <row r="774" spans="1:7">
      <c r="A774" t="str">
        <f>B774&amp;Table4[[#This Row],[Tipo Servicio]]</f>
        <v>HIDALGOFLETES-TALLER - MOVIMIENTOS</v>
      </c>
      <c r="B774" t="s">
        <v>79</v>
      </c>
      <c r="C774" t="s">
        <v>192</v>
      </c>
      <c r="D774" t="s">
        <v>45</v>
      </c>
      <c r="F774" s="56" t="s">
        <v>31</v>
      </c>
      <c r="G774" t="s">
        <v>201</v>
      </c>
    </row>
    <row r="775" spans="1:7">
      <c r="A775" t="str">
        <f>B775&amp;Table4[[#This Row],[Tipo Servicio]]</f>
        <v>TABASCO-VER SURFLETES-TALLER - MOVIMIENTOS</v>
      </c>
      <c r="B775" t="s">
        <v>92</v>
      </c>
      <c r="C775" t="s">
        <v>199</v>
      </c>
      <c r="D775" t="s">
        <v>45</v>
      </c>
      <c r="F775" s="56" t="s">
        <v>31</v>
      </c>
      <c r="G775" t="s">
        <v>176</v>
      </c>
    </row>
    <row r="776" spans="1:7">
      <c r="A776" t="str">
        <f>B776&amp;Table4[[#This Row],[Tipo Servicio]]</f>
        <v>EDO DE MEXICOFLETES-TALLER - MOVIMIENTOS</v>
      </c>
      <c r="B776" t="s">
        <v>74</v>
      </c>
      <c r="C776" t="s">
        <v>200</v>
      </c>
      <c r="D776" t="s">
        <v>45</v>
      </c>
      <c r="F776" s="56" t="s">
        <v>31</v>
      </c>
      <c r="G776" t="s">
        <v>201</v>
      </c>
    </row>
    <row r="777" spans="1:7">
      <c r="A777" t="str">
        <f>B777&amp;Table4[[#This Row],[Tipo Servicio]]</f>
        <v>GRO-MORFLETES-TALLER - MOVIMIENTOS</v>
      </c>
      <c r="B777" t="s">
        <v>77</v>
      </c>
      <c r="C777" t="s">
        <v>205</v>
      </c>
      <c r="D777" t="s">
        <v>45</v>
      </c>
      <c r="F777" s="56" t="s">
        <v>31</v>
      </c>
      <c r="G777" t="s">
        <v>201</v>
      </c>
    </row>
    <row r="778" spans="1:7">
      <c r="A778" t="str">
        <f>B778&amp;Table4[[#This Row],[Tipo Servicio]]</f>
        <v>VDMFLETES-TALLER - MOVIMIENTOS</v>
      </c>
      <c r="B778" t="s">
        <v>96</v>
      </c>
      <c r="C778" t="s">
        <v>210</v>
      </c>
      <c r="D778" t="s">
        <v>45</v>
      </c>
      <c r="F778" s="56" t="s">
        <v>31</v>
      </c>
      <c r="G778" t="s">
        <v>201</v>
      </c>
    </row>
    <row r="779" spans="1:7">
      <c r="A779" t="str">
        <f>B779&amp;Table4[[#This Row],[Tipo Servicio]]</f>
        <v>OAXACAFLETES-TALLER - MOVIMIENTOS</v>
      </c>
      <c r="B779" t="s">
        <v>84</v>
      </c>
      <c r="C779" t="s">
        <v>214</v>
      </c>
      <c r="D779" t="s">
        <v>45</v>
      </c>
      <c r="F779" s="56" t="s">
        <v>31</v>
      </c>
      <c r="G779" t="s">
        <v>176</v>
      </c>
    </row>
    <row r="780" spans="1:7">
      <c r="A780" t="str">
        <f>B780&amp;Table4[[#This Row],[Tipo Servicio]]</f>
        <v>AGS-ZAC-SLPFLETES-TALLER - MOVIMIENTOS</v>
      </c>
      <c r="B780" t="s">
        <v>61</v>
      </c>
      <c r="C780" t="s">
        <v>218</v>
      </c>
      <c r="D780" t="s">
        <v>45</v>
      </c>
      <c r="F780" s="56" t="s">
        <v>31</v>
      </c>
      <c r="G780" t="s">
        <v>219</v>
      </c>
    </row>
    <row r="781" spans="1:7">
      <c r="A781" t="str">
        <f>B781&amp;Table4[[#This Row],[Tipo Servicio]]</f>
        <v>QRO-GTOFLETES-TALLER - MOVIMIENTOS</v>
      </c>
      <c r="B781" t="s">
        <v>76</v>
      </c>
      <c r="C781" t="s">
        <v>227</v>
      </c>
      <c r="D781" t="s">
        <v>45</v>
      </c>
      <c r="F781" s="56" t="s">
        <v>31</v>
      </c>
      <c r="G781" t="s">
        <v>219</v>
      </c>
    </row>
    <row r="782" spans="1:7">
      <c r="A782" t="str">
        <f>B782&amp;Table4[[#This Row],[Tipo Servicio]]</f>
        <v>JALISCO-COLIMA-NAYARITFLETES-TALLER - MOVIMIENTOS</v>
      </c>
      <c r="B782" t="s">
        <v>80</v>
      </c>
      <c r="C782" t="s">
        <v>231</v>
      </c>
      <c r="D782" t="s">
        <v>45</v>
      </c>
      <c r="F782" s="56" t="s">
        <v>31</v>
      </c>
      <c r="G782" t="s">
        <v>219</v>
      </c>
    </row>
    <row r="783" spans="1:7">
      <c r="A783" t="str">
        <f>B783&amp;Table4[[#This Row],[Tipo Servicio]]</f>
        <v>DURANGOFLETES-TALLER - MOVIMIENTOS</v>
      </c>
      <c r="B783" t="s">
        <v>73</v>
      </c>
      <c r="C783" t="s">
        <v>232</v>
      </c>
      <c r="D783" t="s">
        <v>45</v>
      </c>
      <c r="F783" s="56" t="s">
        <v>31</v>
      </c>
      <c r="G783" t="s">
        <v>240</v>
      </c>
    </row>
    <row r="784" spans="1:7">
      <c r="A784" t="str">
        <f>B784&amp;Table4[[#This Row],[Tipo Servicio]]</f>
        <v>TAMAULIPAS SUR-VER NTEFLETES-TALLER - MOVIMIENTOS</v>
      </c>
      <c r="B784" t="s">
        <v>6</v>
      </c>
      <c r="C784" t="s">
        <v>44</v>
      </c>
      <c r="D784" t="s">
        <v>45</v>
      </c>
      <c r="F784" s="56" t="s">
        <v>31</v>
      </c>
      <c r="G784" t="s">
        <v>240</v>
      </c>
    </row>
    <row r="785" spans="1:7">
      <c r="A785" t="str">
        <f>B785&amp;Table4[[#This Row],[Tipo Servicio]]</f>
        <v>NUEVO LEONFLETES-TALLER - MOVIMIENTOS</v>
      </c>
      <c r="B785" t="s">
        <v>83</v>
      </c>
      <c r="C785" t="s">
        <v>239</v>
      </c>
      <c r="D785" t="s">
        <v>45</v>
      </c>
      <c r="F785" s="56" t="s">
        <v>31</v>
      </c>
      <c r="G785" t="s">
        <v>240</v>
      </c>
    </row>
    <row r="786" spans="1:7">
      <c r="A786" t="str">
        <f>B786&amp;Table4[[#This Row],[Tipo Servicio]]</f>
        <v>TAMAULIPAS NORTEFLETES-TALLER - MOVIMIENTOS</v>
      </c>
      <c r="B786" t="s">
        <v>94</v>
      </c>
      <c r="C786" t="s">
        <v>245</v>
      </c>
      <c r="D786" t="s">
        <v>45</v>
      </c>
      <c r="F786" s="56" t="s">
        <v>31</v>
      </c>
      <c r="G786" t="s">
        <v>240</v>
      </c>
    </row>
    <row r="787" spans="1:7">
      <c r="A787" t="str">
        <f>B787&amp;Table4[[#This Row],[Tipo Servicio]]</f>
        <v>MICHOACANFLETES-TALLER - MOVIMIENTOS</v>
      </c>
      <c r="B787" t="s">
        <v>82</v>
      </c>
      <c r="C787" t="s">
        <v>255</v>
      </c>
      <c r="D787" t="s">
        <v>45</v>
      </c>
      <c r="F787" s="56" t="s">
        <v>31</v>
      </c>
      <c r="G787" t="s">
        <v>219</v>
      </c>
    </row>
    <row r="788" spans="1:7">
      <c r="A788" t="str">
        <f>B788&amp;Table4[[#This Row],[Tipo Servicio]]</f>
        <v>AGS-ZAC-SLPFLETE MOV CEDIS A CEDIS - ENFRIADOR</v>
      </c>
      <c r="B788" t="s">
        <v>61</v>
      </c>
      <c r="C788" s="36" t="s">
        <v>49</v>
      </c>
      <c r="D788" t="s">
        <v>50</v>
      </c>
      <c r="F788" s="56" t="s">
        <v>296</v>
      </c>
      <c r="G788" t="s">
        <v>219</v>
      </c>
    </row>
    <row r="789" spans="1:7">
      <c r="A789" t="str">
        <f>B789&amp;Table4[[#This Row],[Tipo Servicio]]</f>
        <v>BCNFLETE MOV CEDIS A CEDIS - ENFRIADOR</v>
      </c>
      <c r="B789" t="s">
        <v>64</v>
      </c>
      <c r="C789" s="36" t="s">
        <v>49</v>
      </c>
      <c r="D789" t="s">
        <v>50</v>
      </c>
      <c r="F789" s="56" t="s">
        <v>296</v>
      </c>
      <c r="G789" t="s">
        <v>139</v>
      </c>
    </row>
    <row r="790" spans="1:7">
      <c r="A790" t="str">
        <f>B790&amp;Table4[[#This Row],[Tipo Servicio]]</f>
        <v>BCSFLETE MOV CEDIS A CEDIS - ENFRIADOR</v>
      </c>
      <c r="B790" t="s">
        <v>67</v>
      </c>
      <c r="C790" s="36" t="s">
        <v>49</v>
      </c>
      <c r="D790" t="s">
        <v>50</v>
      </c>
      <c r="F790" s="56" t="s">
        <v>296</v>
      </c>
      <c r="G790" t="s">
        <v>139</v>
      </c>
    </row>
    <row r="791" spans="1:7">
      <c r="A791" t="str">
        <f>B791&amp;Table4[[#This Row],[Tipo Servicio]]</f>
        <v>CHIHUAHUAFLETE MOV CEDIS A CEDIS - ENFRIADOR</v>
      </c>
      <c r="B791" t="s">
        <v>70</v>
      </c>
      <c r="C791" s="36" t="s">
        <v>49</v>
      </c>
      <c r="D791" t="s">
        <v>50</v>
      </c>
      <c r="F791" s="56" t="s">
        <v>296</v>
      </c>
      <c r="G791" t="str">
        <f>_xlfn.XLOOKUP(Table4[[#This Row],[GZ]],'[1]BASE TRADE'!$R:$R,'[1]BASE TRADE'!$Q:$Q)</f>
        <v>1. Northwest</v>
      </c>
    </row>
    <row r="792" spans="1:7">
      <c r="A792" t="str">
        <f>B792&amp;Table4[[#This Row],[Tipo Servicio]]</f>
        <v>COAHUILAFLETE MOV CEDIS A CEDIS - ENFRIADOR</v>
      </c>
      <c r="B792" t="s">
        <v>72</v>
      </c>
      <c r="C792" s="36" t="s">
        <v>49</v>
      </c>
      <c r="D792" t="s">
        <v>50</v>
      </c>
      <c r="F792" s="56" t="s">
        <v>296</v>
      </c>
      <c r="G792" t="str">
        <f>_xlfn.XLOOKUP(Table4[[#This Row],[GZ]],'[1]BASE TRADE'!$R:$R,'[1]BASE TRADE'!$Q:$Q)</f>
        <v>2. Northeast</v>
      </c>
    </row>
    <row r="793" spans="1:7">
      <c r="A793" t="str">
        <f>B793&amp;Table4[[#This Row],[Tipo Servicio]]</f>
        <v>DURANGOFLETE MOV CEDIS A CEDIS - ENFRIADOR</v>
      </c>
      <c r="B793" t="s">
        <v>73</v>
      </c>
      <c r="C793" s="36" t="s">
        <v>49</v>
      </c>
      <c r="D793" t="s">
        <v>50</v>
      </c>
      <c r="F793" s="56" t="s">
        <v>296</v>
      </c>
      <c r="G793" t="str">
        <f>_xlfn.XLOOKUP(Table4[[#This Row],[GZ]],'[1]BASE TRADE'!$R:$R,'[1]BASE TRADE'!$Q:$Q)</f>
        <v>2. Northeast</v>
      </c>
    </row>
    <row r="794" spans="1:7">
      <c r="A794" t="str">
        <f>B794&amp;Table4[[#This Row],[Tipo Servicio]]</f>
        <v>EDO DE MEXICOFLETE MOV CEDIS A CEDIS - ENFRIADOR</v>
      </c>
      <c r="B794" t="s">
        <v>74</v>
      </c>
      <c r="C794" s="36" t="s">
        <v>49</v>
      </c>
      <c r="D794" t="s">
        <v>50</v>
      </c>
      <c r="F794" s="56" t="s">
        <v>296</v>
      </c>
      <c r="G794" t="s">
        <v>201</v>
      </c>
    </row>
    <row r="795" spans="1:7">
      <c r="A795" t="str">
        <f>B795&amp;Table4[[#This Row],[Tipo Servicio]]</f>
        <v>FRANQUICIA CHIAPASFLETE MOV CEDIS A CEDIS - ENFRIADOR</v>
      </c>
      <c r="B795" t="s">
        <v>75</v>
      </c>
      <c r="C795" s="36" t="s">
        <v>49</v>
      </c>
      <c r="D795" t="s">
        <v>50</v>
      </c>
      <c r="F795" s="56" t="s">
        <v>296</v>
      </c>
      <c r="G795" t="s">
        <v>176</v>
      </c>
    </row>
    <row r="796" spans="1:7">
      <c r="A796" t="str">
        <f>B796&amp;Table4[[#This Row],[Tipo Servicio]]</f>
        <v>QRO-GTOFLETE MOV CEDIS A CEDIS - ENFRIADOR</v>
      </c>
      <c r="B796" t="s">
        <v>76</v>
      </c>
      <c r="C796" s="36" t="s">
        <v>49</v>
      </c>
      <c r="D796" t="s">
        <v>50</v>
      </c>
      <c r="F796" s="56" t="s">
        <v>296</v>
      </c>
      <c r="G796" t="s">
        <v>219</v>
      </c>
    </row>
    <row r="797" spans="1:7">
      <c r="A797" t="str">
        <f>B797&amp;Table4[[#This Row],[Tipo Servicio]]</f>
        <v>GRO-MORFLETE MOV CEDIS A CEDIS - ENFRIADOR</v>
      </c>
      <c r="B797" t="s">
        <v>77</v>
      </c>
      <c r="C797" s="36" t="s">
        <v>49</v>
      </c>
      <c r="D797" t="s">
        <v>50</v>
      </c>
      <c r="F797" s="56" t="s">
        <v>296</v>
      </c>
      <c r="G797" t="s">
        <v>201</v>
      </c>
    </row>
    <row r="798" spans="1:7">
      <c r="A798" t="str">
        <f>B798&amp;Table4[[#This Row],[Tipo Servicio]]</f>
        <v>HIDALGOFLETE MOV CEDIS A CEDIS - ENFRIADOR</v>
      </c>
      <c r="B798" t="s">
        <v>79</v>
      </c>
      <c r="C798" s="36" t="s">
        <v>49</v>
      </c>
      <c r="D798" t="s">
        <v>50</v>
      </c>
      <c r="F798" s="56" t="s">
        <v>296</v>
      </c>
      <c r="G798" t="str">
        <f>_xlfn.XLOOKUP(Table4[[#This Row],[GZ]],'[1]BASE TRADE'!$R:$R,'[1]BASE TRADE'!$Q:$Q)</f>
        <v>4. Center</v>
      </c>
    </row>
    <row r="799" spans="1:7">
      <c r="A799" t="str">
        <f>B799&amp;Table4[[#This Row],[Tipo Servicio]]</f>
        <v>JALISCO-COLIMA-NAYARITFLETE MOV CEDIS A CEDIS - ENFRIADOR</v>
      </c>
      <c r="B799" t="s">
        <v>80</v>
      </c>
      <c r="C799" s="36" t="s">
        <v>49</v>
      </c>
      <c r="D799" t="s">
        <v>50</v>
      </c>
      <c r="F799" s="56" t="s">
        <v>296</v>
      </c>
      <c r="G799" t="s">
        <v>219</v>
      </c>
    </row>
    <row r="800" spans="1:7">
      <c r="A800" t="str">
        <f>B800&amp;Table4[[#This Row],[Tipo Servicio]]</f>
        <v>JUAREZFLETE MOV CEDIS A CEDIS - ENFRIADOR</v>
      </c>
      <c r="B800" t="s">
        <v>81</v>
      </c>
      <c r="C800" s="36" t="s">
        <v>49</v>
      </c>
      <c r="D800" t="s">
        <v>50</v>
      </c>
      <c r="F800" s="56" t="s">
        <v>296</v>
      </c>
      <c r="G800" t="s">
        <v>139</v>
      </c>
    </row>
    <row r="801" spans="1:7">
      <c r="A801" t="str">
        <f>B801&amp;Table4[[#This Row],[Tipo Servicio]]</f>
        <v>MICHOACANFLETE MOV CEDIS A CEDIS - ENFRIADOR</v>
      </c>
      <c r="B801" t="s">
        <v>82</v>
      </c>
      <c r="C801" s="36" t="s">
        <v>49</v>
      </c>
      <c r="D801" t="s">
        <v>50</v>
      </c>
      <c r="F801" s="56" t="s">
        <v>296</v>
      </c>
      <c r="G801" t="s">
        <v>219</v>
      </c>
    </row>
    <row r="802" spans="1:7">
      <c r="A802" t="str">
        <f>B802&amp;Table4[[#This Row],[Tipo Servicio]]</f>
        <v>NUEVO LEONFLETE MOV CEDIS A CEDIS - ENFRIADOR</v>
      </c>
      <c r="B802" t="s">
        <v>83</v>
      </c>
      <c r="C802" s="36" t="s">
        <v>49</v>
      </c>
      <c r="D802" t="s">
        <v>50</v>
      </c>
      <c r="F802" s="56" t="s">
        <v>296</v>
      </c>
      <c r="G802" t="s">
        <v>240</v>
      </c>
    </row>
    <row r="803" spans="1:7">
      <c r="A803" t="str">
        <f>B803&amp;Table4[[#This Row],[Tipo Servicio]]</f>
        <v>OAXACAFLETE MOV CEDIS A CEDIS - ENFRIADOR</v>
      </c>
      <c r="B803" t="s">
        <v>84</v>
      </c>
      <c r="C803" s="36" t="s">
        <v>49</v>
      </c>
      <c r="D803" t="s">
        <v>50</v>
      </c>
      <c r="F803" s="56" t="s">
        <v>296</v>
      </c>
      <c r="G803" t="str">
        <f>_xlfn.XLOOKUP(Table4[[#This Row],[GZ]],'[1]BASE TRADE'!$R:$R,'[1]BASE TRADE'!$Q:$Q)</f>
        <v>5. Southeast</v>
      </c>
    </row>
    <row r="804" spans="1:7">
      <c r="A804" t="str">
        <f>B804&amp;Table4[[#This Row],[Tipo Servicio]]</f>
        <v>PUEBLA-TLAXCALAFLETE MOV CEDIS A CEDIS - ENFRIADOR</v>
      </c>
      <c r="B804" t="s">
        <v>85</v>
      </c>
      <c r="C804" s="36" t="s">
        <v>49</v>
      </c>
      <c r="D804" t="s">
        <v>50</v>
      </c>
      <c r="F804" s="56" t="s">
        <v>296</v>
      </c>
      <c r="G804" t="e">
        <f>_xlfn.XLOOKUP(Table4[[#This Row],[GZ]],'[1]BASE TRADE'!$R:$R,'[1]BASE TRADE'!$Q:$Q)</f>
        <v>#N/A</v>
      </c>
    </row>
    <row r="805" spans="1:7">
      <c r="A805" t="str">
        <f>B805&amp;Table4[[#This Row],[Tipo Servicio]]</f>
        <v>QROOFLETE MOV CEDIS A CEDIS - ENFRIADOR</v>
      </c>
      <c r="B805" t="s">
        <v>86</v>
      </c>
      <c r="C805" s="36" t="s">
        <v>49</v>
      </c>
      <c r="D805" t="s">
        <v>50</v>
      </c>
      <c r="F805" s="56" t="s">
        <v>296</v>
      </c>
      <c r="G805" t="s">
        <v>176</v>
      </c>
    </row>
    <row r="806" spans="1:7">
      <c r="A806" t="str">
        <f>B806&amp;Table4[[#This Row],[Tipo Servicio]]</f>
        <v>SINALOAFLETE MOV CEDIS A CEDIS - ENFRIADOR</v>
      </c>
      <c r="B806" t="s">
        <v>88</v>
      </c>
      <c r="C806" s="36" t="s">
        <v>49</v>
      </c>
      <c r="D806" t="s">
        <v>50</v>
      </c>
      <c r="F806" s="56" t="s">
        <v>296</v>
      </c>
      <c r="G806" t="str">
        <f>_xlfn.XLOOKUP(Table4[[#This Row],[GZ]],'[1]BASE TRADE'!$R:$R,'[1]BASE TRADE'!$Q:$Q)</f>
        <v>1. Northwest</v>
      </c>
    </row>
    <row r="807" spans="1:7">
      <c r="A807" t="str">
        <f>B807&amp;Table4[[#This Row],[Tipo Servicio]]</f>
        <v>SONORAFLETE MOV CEDIS A CEDIS - ENFRIADOR</v>
      </c>
      <c r="B807" t="s">
        <v>90</v>
      </c>
      <c r="C807" s="36" t="s">
        <v>49</v>
      </c>
      <c r="D807" t="s">
        <v>50</v>
      </c>
      <c r="F807" s="56" t="s">
        <v>296</v>
      </c>
      <c r="G807" t="str">
        <f>_xlfn.XLOOKUP(Table4[[#This Row],[GZ]],'[1]BASE TRADE'!$R:$R,'[1]BASE TRADE'!$Q:$Q)</f>
        <v>1. Northwest</v>
      </c>
    </row>
    <row r="808" spans="1:7">
      <c r="A808" t="str">
        <f>B808&amp;Table4[[#This Row],[Tipo Servicio]]</f>
        <v>TABASCO-VER SURFLETE MOV CEDIS A CEDIS - ENFRIADOR</v>
      </c>
      <c r="B808" t="s">
        <v>92</v>
      </c>
      <c r="C808" s="36" t="s">
        <v>49</v>
      </c>
      <c r="D808" t="s">
        <v>50</v>
      </c>
      <c r="F808" s="56" t="s">
        <v>296</v>
      </c>
      <c r="G808" t="s">
        <v>176</v>
      </c>
    </row>
    <row r="809" spans="1:7">
      <c r="A809" t="str">
        <f>B809&amp;Table4[[#This Row],[Tipo Servicio]]</f>
        <v>TAMAULIPAS NORTEFLETE MOV CEDIS A CEDIS - ENFRIADOR</v>
      </c>
      <c r="B809" t="s">
        <v>94</v>
      </c>
      <c r="C809" s="36" t="s">
        <v>49</v>
      </c>
      <c r="D809" t="s">
        <v>50</v>
      </c>
      <c r="F809" s="56" t="s">
        <v>296</v>
      </c>
      <c r="G809" t="s">
        <v>240</v>
      </c>
    </row>
    <row r="810" spans="1:7">
      <c r="A810" t="str">
        <f>B810&amp;Table4[[#This Row],[Tipo Servicio]]</f>
        <v>TAMAULIPAS SUR-VER NTEFLETE MOV CEDIS A CEDIS - ENFRIADOR</v>
      </c>
      <c r="B810" t="s">
        <v>6</v>
      </c>
      <c r="C810" s="36" t="s">
        <v>49</v>
      </c>
      <c r="D810" t="s">
        <v>50</v>
      </c>
      <c r="F810" s="56" t="s">
        <v>296</v>
      </c>
      <c r="G810" t="e">
        <f>_xlfn.XLOOKUP(Table4[[#This Row],[GZ]],'[1]BASE TRADE'!$R:$R,'[1]BASE TRADE'!$Q:$Q)</f>
        <v>#N/A</v>
      </c>
    </row>
    <row r="811" spans="1:7">
      <c r="A811" t="str">
        <f>B811&amp;Table4[[#This Row],[Tipo Servicio]]</f>
        <v>VDMFLETE MOV CEDIS A CEDIS - ENFRIADOR</v>
      </c>
      <c r="B811" t="s">
        <v>96</v>
      </c>
      <c r="C811" s="36" t="s">
        <v>49</v>
      </c>
      <c r="D811" t="s">
        <v>50</v>
      </c>
      <c r="F811" s="56" t="s">
        <v>296</v>
      </c>
      <c r="G811" t="str">
        <f>_xlfn.XLOOKUP(Table4[[#This Row],[GZ]],'[1]BASE TRADE'!$R:$R,'[1]BASE TRADE'!$Q:$Q)</f>
        <v>4. Center</v>
      </c>
    </row>
    <row r="812" spans="1:7">
      <c r="A812" t="str">
        <f>B812&amp;Table4[[#This Row],[Tipo Servicio]]</f>
        <v>VERACRUZ CENTROFLETE MOV CEDIS A CEDIS - ENFRIADOR</v>
      </c>
      <c r="B812" t="s">
        <v>98</v>
      </c>
      <c r="C812" s="36" t="s">
        <v>49</v>
      </c>
      <c r="D812" t="s">
        <v>50</v>
      </c>
      <c r="F812" s="56" t="s">
        <v>296</v>
      </c>
      <c r="G812" t="str">
        <f>_xlfn.XLOOKUP(Table4[[#This Row],[GZ]],'[1]BASE TRADE'!$R:$R,'[1]BASE TRADE'!$Q:$Q)</f>
        <v>5. Southeast</v>
      </c>
    </row>
    <row r="813" spans="1:7">
      <c r="A813" t="str">
        <f>B813&amp;Table4[[#This Row],[Tipo Servicio]]</f>
        <v>YUCAMFLETE MOV CEDIS A CEDIS - ENFRIADOR</v>
      </c>
      <c r="B813" t="s">
        <v>100</v>
      </c>
      <c r="C813" s="36" t="s">
        <v>49</v>
      </c>
      <c r="D813" t="s">
        <v>50</v>
      </c>
      <c r="F813" s="56" t="s">
        <v>296</v>
      </c>
      <c r="G813" t="s">
        <v>176</v>
      </c>
    </row>
    <row r="814" spans="1:7">
      <c r="A814" t="str">
        <f>B814&amp;Table4[[#This Row],[Tipo Servicio]]</f>
        <v>AGS-ZAC-SLPFLETE MOV CEDIS A CEDIS - MAQUINA HIELO</v>
      </c>
      <c r="B814" t="s">
        <v>61</v>
      </c>
      <c r="C814" s="36" t="s">
        <v>49</v>
      </c>
      <c r="D814" t="s">
        <v>50</v>
      </c>
      <c r="F814" s="56" t="s">
        <v>297</v>
      </c>
      <c r="G814" t="s">
        <v>219</v>
      </c>
    </row>
    <row r="815" spans="1:7">
      <c r="A815" t="str">
        <f>B815&amp;Table4[[#This Row],[Tipo Servicio]]</f>
        <v>BCNFLETE MOV CEDIS A CEDIS - MAQUINA HIELO</v>
      </c>
      <c r="B815" t="s">
        <v>64</v>
      </c>
      <c r="C815" s="36" t="s">
        <v>49</v>
      </c>
      <c r="D815" t="s">
        <v>50</v>
      </c>
      <c r="F815" s="56" t="s">
        <v>297</v>
      </c>
      <c r="G815" t="s">
        <v>139</v>
      </c>
    </row>
    <row r="816" spans="1:7">
      <c r="A816" t="str">
        <f>B816&amp;Table4[[#This Row],[Tipo Servicio]]</f>
        <v>BCSFLETE MOV CEDIS A CEDIS - MAQUINA HIELO</v>
      </c>
      <c r="B816" t="s">
        <v>67</v>
      </c>
      <c r="C816" s="36" t="s">
        <v>49</v>
      </c>
      <c r="D816" t="s">
        <v>50</v>
      </c>
      <c r="F816" s="56" t="s">
        <v>297</v>
      </c>
      <c r="G816" t="s">
        <v>139</v>
      </c>
    </row>
    <row r="817" spans="1:7">
      <c r="A817" t="str">
        <f>B817&amp;Table4[[#This Row],[Tipo Servicio]]</f>
        <v>CHIHUAHUAFLETE MOV CEDIS A CEDIS - MAQUINA HIELO</v>
      </c>
      <c r="B817" t="s">
        <v>70</v>
      </c>
      <c r="C817" s="36" t="s">
        <v>49</v>
      </c>
      <c r="D817" t="s">
        <v>50</v>
      </c>
      <c r="F817" s="56" t="s">
        <v>297</v>
      </c>
      <c r="G817" t="str">
        <f>_xlfn.XLOOKUP(Table4[[#This Row],[GZ]],'[1]BASE TRADE'!$R:$R,'[1]BASE TRADE'!$Q:$Q)</f>
        <v>1. Northwest</v>
      </c>
    </row>
    <row r="818" spans="1:7">
      <c r="A818" t="str">
        <f>B818&amp;Table4[[#This Row],[Tipo Servicio]]</f>
        <v>COAHUILAFLETE MOV CEDIS A CEDIS - MAQUINA HIELO</v>
      </c>
      <c r="B818" t="s">
        <v>72</v>
      </c>
      <c r="C818" s="36" t="s">
        <v>49</v>
      </c>
      <c r="D818" t="s">
        <v>50</v>
      </c>
      <c r="F818" s="56" t="s">
        <v>297</v>
      </c>
      <c r="G818" t="str">
        <f>_xlfn.XLOOKUP(Table4[[#This Row],[GZ]],'[1]BASE TRADE'!$R:$R,'[1]BASE TRADE'!$Q:$Q)</f>
        <v>2. Northeast</v>
      </c>
    </row>
    <row r="819" spans="1:7">
      <c r="A819" t="str">
        <f>B819&amp;Table4[[#This Row],[Tipo Servicio]]</f>
        <v>DURANGOFLETE MOV CEDIS A CEDIS - MAQUINA HIELO</v>
      </c>
      <c r="B819" t="s">
        <v>73</v>
      </c>
      <c r="C819" s="36" t="s">
        <v>49</v>
      </c>
      <c r="D819" t="s">
        <v>50</v>
      </c>
      <c r="F819" s="56" t="s">
        <v>297</v>
      </c>
      <c r="G819" t="str">
        <f>_xlfn.XLOOKUP(Table4[[#This Row],[GZ]],'[1]BASE TRADE'!$R:$R,'[1]BASE TRADE'!$Q:$Q)</f>
        <v>2. Northeast</v>
      </c>
    </row>
    <row r="820" spans="1:7">
      <c r="A820" t="str">
        <f>B820&amp;Table4[[#This Row],[Tipo Servicio]]</f>
        <v>EDO DE MEXICOFLETE MOV CEDIS A CEDIS - MAQUINA HIELO</v>
      </c>
      <c r="B820" t="s">
        <v>74</v>
      </c>
      <c r="C820" s="36" t="s">
        <v>49</v>
      </c>
      <c r="D820" t="s">
        <v>50</v>
      </c>
      <c r="F820" s="56" t="s">
        <v>297</v>
      </c>
      <c r="G820" t="s">
        <v>201</v>
      </c>
    </row>
    <row r="821" spans="1:7">
      <c r="A821" t="str">
        <f>B821&amp;Table4[[#This Row],[Tipo Servicio]]</f>
        <v>FRANQUICIA CHIAPASFLETE MOV CEDIS A CEDIS - MAQUINA HIELO</v>
      </c>
      <c r="B821" t="s">
        <v>75</v>
      </c>
      <c r="C821" s="36" t="s">
        <v>49</v>
      </c>
      <c r="D821" t="s">
        <v>50</v>
      </c>
      <c r="F821" s="56" t="s">
        <v>297</v>
      </c>
      <c r="G821" t="s">
        <v>176</v>
      </c>
    </row>
    <row r="822" spans="1:7">
      <c r="A822" t="str">
        <f>B822&amp;Table4[[#This Row],[Tipo Servicio]]</f>
        <v>QRO-GTOFLETE MOV CEDIS A CEDIS - MAQUINA HIELO</v>
      </c>
      <c r="B822" t="s">
        <v>76</v>
      </c>
      <c r="C822" s="36" t="s">
        <v>49</v>
      </c>
      <c r="D822" t="s">
        <v>50</v>
      </c>
      <c r="F822" s="56" t="s">
        <v>297</v>
      </c>
      <c r="G822" t="s">
        <v>219</v>
      </c>
    </row>
    <row r="823" spans="1:7">
      <c r="A823" t="str">
        <f>B823&amp;Table4[[#This Row],[Tipo Servicio]]</f>
        <v>GRO-MORFLETE MOV CEDIS A CEDIS - MAQUINA HIELO</v>
      </c>
      <c r="B823" t="s">
        <v>77</v>
      </c>
      <c r="C823" s="36" t="s">
        <v>49</v>
      </c>
      <c r="D823" t="s">
        <v>50</v>
      </c>
      <c r="F823" s="56" t="s">
        <v>297</v>
      </c>
      <c r="G823" t="s">
        <v>201</v>
      </c>
    </row>
    <row r="824" spans="1:7">
      <c r="A824" t="str">
        <f>B824&amp;Table4[[#This Row],[Tipo Servicio]]</f>
        <v>HIDALGOFLETE MOV CEDIS A CEDIS - MAQUINA HIELO</v>
      </c>
      <c r="B824" t="s">
        <v>79</v>
      </c>
      <c r="C824" s="36" t="s">
        <v>49</v>
      </c>
      <c r="D824" t="s">
        <v>50</v>
      </c>
      <c r="F824" s="56" t="s">
        <v>297</v>
      </c>
      <c r="G824" t="str">
        <f>_xlfn.XLOOKUP(Table4[[#This Row],[GZ]],'[1]BASE TRADE'!$R:$R,'[1]BASE TRADE'!$Q:$Q)</f>
        <v>4. Center</v>
      </c>
    </row>
    <row r="825" spans="1:7">
      <c r="A825" t="str">
        <f>B825&amp;Table4[[#This Row],[Tipo Servicio]]</f>
        <v>JALISCO-COLIMA-NAYARITFLETE MOV CEDIS A CEDIS - MAQUINA HIELO</v>
      </c>
      <c r="B825" t="s">
        <v>80</v>
      </c>
      <c r="C825" s="36" t="s">
        <v>49</v>
      </c>
      <c r="D825" t="s">
        <v>50</v>
      </c>
      <c r="F825" s="56" t="s">
        <v>297</v>
      </c>
      <c r="G825" t="s">
        <v>219</v>
      </c>
    </row>
    <row r="826" spans="1:7">
      <c r="A826" t="str">
        <f>B826&amp;Table4[[#This Row],[Tipo Servicio]]</f>
        <v>JUAREZFLETE MOV CEDIS A CEDIS - MAQUINA HIELO</v>
      </c>
      <c r="B826" t="s">
        <v>81</v>
      </c>
      <c r="C826" s="36" t="s">
        <v>49</v>
      </c>
      <c r="D826" t="s">
        <v>50</v>
      </c>
      <c r="F826" s="56" t="s">
        <v>297</v>
      </c>
      <c r="G826" t="s">
        <v>139</v>
      </c>
    </row>
    <row r="827" spans="1:7">
      <c r="A827" t="str">
        <f>B827&amp;Table4[[#This Row],[Tipo Servicio]]</f>
        <v>MICHOACANFLETE MOV CEDIS A CEDIS - MAQUINA HIELO</v>
      </c>
      <c r="B827" t="s">
        <v>82</v>
      </c>
      <c r="C827" s="36" t="s">
        <v>49</v>
      </c>
      <c r="D827" t="s">
        <v>50</v>
      </c>
      <c r="F827" s="56" t="s">
        <v>297</v>
      </c>
      <c r="G827" t="s">
        <v>219</v>
      </c>
    </row>
    <row r="828" spans="1:7">
      <c r="A828" t="str">
        <f>B828&amp;Table4[[#This Row],[Tipo Servicio]]</f>
        <v>NUEVO LEONFLETE MOV CEDIS A CEDIS - MAQUINA HIELO</v>
      </c>
      <c r="B828" t="s">
        <v>83</v>
      </c>
      <c r="C828" s="36" t="s">
        <v>49</v>
      </c>
      <c r="D828" t="s">
        <v>50</v>
      </c>
      <c r="F828" s="56" t="s">
        <v>297</v>
      </c>
      <c r="G828" t="s">
        <v>240</v>
      </c>
    </row>
    <row r="829" spans="1:7">
      <c r="A829" t="str">
        <f>B829&amp;Table4[[#This Row],[Tipo Servicio]]</f>
        <v>OAXACAFLETE MOV CEDIS A CEDIS - MAQUINA HIELO</v>
      </c>
      <c r="B829" t="s">
        <v>84</v>
      </c>
      <c r="C829" s="36" t="s">
        <v>49</v>
      </c>
      <c r="D829" t="s">
        <v>50</v>
      </c>
      <c r="F829" s="56" t="s">
        <v>297</v>
      </c>
      <c r="G829" t="str">
        <f>_xlfn.XLOOKUP(Table4[[#This Row],[GZ]],'[1]BASE TRADE'!$R:$R,'[1]BASE TRADE'!$Q:$Q)</f>
        <v>5. Southeast</v>
      </c>
    </row>
    <row r="830" spans="1:7">
      <c r="A830" t="str">
        <f>B830&amp;Table4[[#This Row],[Tipo Servicio]]</f>
        <v>PUEBLA-TLAXCALAFLETE MOV CEDIS A CEDIS - MAQUINA HIELO</v>
      </c>
      <c r="B830" t="s">
        <v>85</v>
      </c>
      <c r="C830" s="36" t="s">
        <v>49</v>
      </c>
      <c r="D830" t="s">
        <v>50</v>
      </c>
      <c r="F830" s="56" t="s">
        <v>297</v>
      </c>
      <c r="G830" t="e">
        <f>_xlfn.XLOOKUP(Table4[[#This Row],[GZ]],'[1]BASE TRADE'!$R:$R,'[1]BASE TRADE'!$Q:$Q)</f>
        <v>#N/A</v>
      </c>
    </row>
    <row r="831" spans="1:7">
      <c r="A831" t="str">
        <f>B831&amp;Table4[[#This Row],[Tipo Servicio]]</f>
        <v>QROOFLETE MOV CEDIS A CEDIS - MAQUINA HIELO</v>
      </c>
      <c r="B831" t="s">
        <v>86</v>
      </c>
      <c r="C831" s="36" t="s">
        <v>49</v>
      </c>
      <c r="D831" t="s">
        <v>50</v>
      </c>
      <c r="F831" s="56" t="s">
        <v>297</v>
      </c>
      <c r="G831" t="s">
        <v>176</v>
      </c>
    </row>
    <row r="832" spans="1:7">
      <c r="A832" t="str">
        <f>B832&amp;Table4[[#This Row],[Tipo Servicio]]</f>
        <v>SINALOAFLETE MOV CEDIS A CEDIS - MAQUINA HIELO</v>
      </c>
      <c r="B832" t="s">
        <v>88</v>
      </c>
      <c r="C832" s="36" t="s">
        <v>49</v>
      </c>
      <c r="D832" t="s">
        <v>50</v>
      </c>
      <c r="F832" s="56" t="s">
        <v>297</v>
      </c>
      <c r="G832" t="str">
        <f>_xlfn.XLOOKUP(Table4[[#This Row],[GZ]],'[1]BASE TRADE'!$R:$R,'[1]BASE TRADE'!$Q:$Q)</f>
        <v>1. Northwest</v>
      </c>
    </row>
    <row r="833" spans="1:7">
      <c r="A833" t="str">
        <f>B833&amp;Table4[[#This Row],[Tipo Servicio]]</f>
        <v>SONORAFLETE MOV CEDIS A CEDIS - MAQUINA HIELO</v>
      </c>
      <c r="B833" t="s">
        <v>90</v>
      </c>
      <c r="C833" s="36" t="s">
        <v>49</v>
      </c>
      <c r="D833" t="s">
        <v>50</v>
      </c>
      <c r="F833" s="56" t="s">
        <v>297</v>
      </c>
      <c r="G833" t="str">
        <f>_xlfn.XLOOKUP(Table4[[#This Row],[GZ]],'[1]BASE TRADE'!$R:$R,'[1]BASE TRADE'!$Q:$Q)</f>
        <v>1. Northwest</v>
      </c>
    </row>
    <row r="834" spans="1:7">
      <c r="A834" t="str">
        <f>B834&amp;Table4[[#This Row],[Tipo Servicio]]</f>
        <v>TABASCO-VER SURFLETE MOV CEDIS A CEDIS - MAQUINA HIELO</v>
      </c>
      <c r="B834" t="s">
        <v>92</v>
      </c>
      <c r="C834" s="36" t="s">
        <v>49</v>
      </c>
      <c r="D834" t="s">
        <v>50</v>
      </c>
      <c r="F834" s="56" t="s">
        <v>297</v>
      </c>
      <c r="G834" t="s">
        <v>176</v>
      </c>
    </row>
    <row r="835" spans="1:7">
      <c r="A835" t="str">
        <f>B835&amp;Table4[[#This Row],[Tipo Servicio]]</f>
        <v>TAMAULIPAS NORTEFLETE MOV CEDIS A CEDIS - MAQUINA HIELO</v>
      </c>
      <c r="B835" t="s">
        <v>94</v>
      </c>
      <c r="C835" s="36" t="s">
        <v>49</v>
      </c>
      <c r="D835" t="s">
        <v>50</v>
      </c>
      <c r="F835" s="56" t="s">
        <v>297</v>
      </c>
      <c r="G835" t="s">
        <v>240</v>
      </c>
    </row>
    <row r="836" spans="1:7">
      <c r="A836" t="str">
        <f>B836&amp;Table4[[#This Row],[Tipo Servicio]]</f>
        <v>TAMAULIPAS SUR-VER NTEFLETE MOV CEDIS A CEDIS - MAQUINA HIELO</v>
      </c>
      <c r="B836" t="s">
        <v>6</v>
      </c>
      <c r="C836" s="36" t="s">
        <v>49</v>
      </c>
      <c r="D836" t="s">
        <v>50</v>
      </c>
      <c r="F836" s="56" t="s">
        <v>297</v>
      </c>
      <c r="G836" t="e">
        <f>_xlfn.XLOOKUP(Table4[[#This Row],[GZ]],'[1]BASE TRADE'!$R:$R,'[1]BASE TRADE'!$Q:$Q)</f>
        <v>#N/A</v>
      </c>
    </row>
    <row r="837" spans="1:7">
      <c r="A837" t="str">
        <f>B837&amp;Table4[[#This Row],[Tipo Servicio]]</f>
        <v>VDMFLETE MOV CEDIS A CEDIS - MAQUINA HIELO</v>
      </c>
      <c r="B837" t="s">
        <v>96</v>
      </c>
      <c r="C837" s="36" t="s">
        <v>49</v>
      </c>
      <c r="D837" t="s">
        <v>50</v>
      </c>
      <c r="F837" s="56" t="s">
        <v>297</v>
      </c>
      <c r="G837" t="str">
        <f>_xlfn.XLOOKUP(Table4[[#This Row],[GZ]],'[1]BASE TRADE'!$R:$R,'[1]BASE TRADE'!$Q:$Q)</f>
        <v>4. Center</v>
      </c>
    </row>
    <row r="838" spans="1:7">
      <c r="A838" t="str">
        <f>B838&amp;Table4[[#This Row],[Tipo Servicio]]</f>
        <v>VERACRUZ CENTROFLETE MOV CEDIS A CEDIS - MAQUINA HIELO</v>
      </c>
      <c r="B838" t="s">
        <v>98</v>
      </c>
      <c r="C838" s="36" t="s">
        <v>49</v>
      </c>
      <c r="D838" t="s">
        <v>50</v>
      </c>
      <c r="F838" s="56" t="s">
        <v>297</v>
      </c>
      <c r="G838" t="str">
        <f>_xlfn.XLOOKUP(Table4[[#This Row],[GZ]],'[1]BASE TRADE'!$R:$R,'[1]BASE TRADE'!$Q:$Q)</f>
        <v>5. Southeast</v>
      </c>
    </row>
    <row r="839" spans="1:7">
      <c r="A839" t="str">
        <f>B839&amp;Table4[[#This Row],[Tipo Servicio]]</f>
        <v>YUCAMFLETE MOV CEDIS A CEDIS - MAQUINA HIELO</v>
      </c>
      <c r="B839" t="s">
        <v>100</v>
      </c>
      <c r="C839" s="36" t="s">
        <v>49</v>
      </c>
      <c r="D839" t="s">
        <v>50</v>
      </c>
      <c r="F839" s="56" t="s">
        <v>297</v>
      </c>
      <c r="G839" t="s">
        <v>176</v>
      </c>
    </row>
    <row r="840" spans="1:7">
      <c r="A840" t="str">
        <f>B840&amp;Table4[[#This Row],[Tipo Servicio]]</f>
        <v>BCNFLETE MOV CEDIS A CEDIS - BARRIL</v>
      </c>
      <c r="B840" t="s">
        <v>64</v>
      </c>
      <c r="C840" s="36" t="s">
        <v>49</v>
      </c>
      <c r="D840" t="s">
        <v>50</v>
      </c>
      <c r="F840" s="56" t="s">
        <v>298</v>
      </c>
      <c r="G840" t="s">
        <v>139</v>
      </c>
    </row>
    <row r="841" spans="1:7">
      <c r="A841" t="str">
        <f>B841&amp;Table4[[#This Row],[Tipo Servicio]]</f>
        <v>BCSFLETE MOV CEDIS A CEDIS - BARRIL</v>
      </c>
      <c r="B841" t="s">
        <v>67</v>
      </c>
      <c r="C841" s="36" t="s">
        <v>49</v>
      </c>
      <c r="D841" t="s">
        <v>50</v>
      </c>
      <c r="F841" s="56" t="s">
        <v>298</v>
      </c>
      <c r="G841" t="s">
        <v>139</v>
      </c>
    </row>
    <row r="842" spans="1:7">
      <c r="A842" t="str">
        <f>B842&amp;Table4[[#This Row],[Tipo Servicio]]</f>
        <v>CHIHUAHUAFLETE MOV CEDIS A CEDIS - BARRIL</v>
      </c>
      <c r="B842" t="s">
        <v>70</v>
      </c>
      <c r="C842" s="36" t="s">
        <v>49</v>
      </c>
      <c r="D842" t="s">
        <v>50</v>
      </c>
      <c r="F842" s="56" t="s">
        <v>298</v>
      </c>
      <c r="G842" t="str">
        <f>_xlfn.XLOOKUP(Table4[[#This Row],[GZ]],'[1]BASE TRADE'!$R:$R,'[1]BASE TRADE'!$Q:$Q)</f>
        <v>1. Northwest</v>
      </c>
    </row>
    <row r="843" spans="1:7">
      <c r="A843" t="str">
        <f>B843&amp;Table4[[#This Row],[Tipo Servicio]]</f>
        <v>COAHUILAFLETE MOV CEDIS A CEDIS - BARRIL</v>
      </c>
      <c r="B843" t="s">
        <v>72</v>
      </c>
      <c r="C843" s="36" t="s">
        <v>49</v>
      </c>
      <c r="D843" t="s">
        <v>50</v>
      </c>
      <c r="F843" s="56" t="s">
        <v>298</v>
      </c>
      <c r="G843" t="str">
        <f>_xlfn.XLOOKUP(Table4[[#This Row],[GZ]],'[1]BASE TRADE'!$R:$R,'[1]BASE TRADE'!$Q:$Q)</f>
        <v>2. Northeast</v>
      </c>
    </row>
    <row r="844" spans="1:7">
      <c r="A844" t="str">
        <f>B844&amp;Table4[[#This Row],[Tipo Servicio]]</f>
        <v>DURANGOFLETE MOV CEDIS A CEDIS - BARRIL</v>
      </c>
      <c r="B844" t="s">
        <v>73</v>
      </c>
      <c r="C844" s="36" t="s">
        <v>49</v>
      </c>
      <c r="D844" t="s">
        <v>50</v>
      </c>
      <c r="F844" s="56" t="s">
        <v>298</v>
      </c>
      <c r="G844" t="str">
        <f>_xlfn.XLOOKUP(Table4[[#This Row],[GZ]],'[1]BASE TRADE'!$R:$R,'[1]BASE TRADE'!$Q:$Q)</f>
        <v>2. Northeast</v>
      </c>
    </row>
    <row r="845" spans="1:7">
      <c r="A845" t="str">
        <f>B845&amp;Table4[[#This Row],[Tipo Servicio]]</f>
        <v>EDO DE MEXICOFLETE MOV CEDIS A CEDIS - BARRIL</v>
      </c>
      <c r="B845" t="s">
        <v>74</v>
      </c>
      <c r="C845" s="36" t="s">
        <v>49</v>
      </c>
      <c r="D845" t="s">
        <v>50</v>
      </c>
      <c r="F845" s="56" t="s">
        <v>298</v>
      </c>
      <c r="G845" t="s">
        <v>201</v>
      </c>
    </row>
    <row r="846" spans="1:7">
      <c r="A846" t="str">
        <f>B846&amp;Table4[[#This Row],[Tipo Servicio]]</f>
        <v>FRANQUICIA CHIAPASFLETE MOV CEDIS A CEDIS - BARRIL</v>
      </c>
      <c r="B846" t="s">
        <v>75</v>
      </c>
      <c r="C846" s="36" t="s">
        <v>49</v>
      </c>
      <c r="D846" t="s">
        <v>50</v>
      </c>
      <c r="F846" s="56" t="s">
        <v>298</v>
      </c>
      <c r="G846" t="s">
        <v>176</v>
      </c>
    </row>
    <row r="847" spans="1:7">
      <c r="A847" t="str">
        <f>B847&amp;Table4[[#This Row],[Tipo Servicio]]</f>
        <v>QRO-GTOFLETE MOV CEDIS A CEDIS - BARRIL</v>
      </c>
      <c r="B847" t="s">
        <v>76</v>
      </c>
      <c r="C847" s="36" t="s">
        <v>49</v>
      </c>
      <c r="D847" t="s">
        <v>50</v>
      </c>
      <c r="F847" s="56" t="s">
        <v>298</v>
      </c>
      <c r="G847" t="s">
        <v>219</v>
      </c>
    </row>
    <row r="848" spans="1:7">
      <c r="A848" t="str">
        <f>B848&amp;Table4[[#This Row],[Tipo Servicio]]</f>
        <v>GRO-MORFLETE MOV CEDIS A CEDIS - BARRIL</v>
      </c>
      <c r="B848" t="s">
        <v>77</v>
      </c>
      <c r="C848" s="36" t="s">
        <v>49</v>
      </c>
      <c r="D848" t="s">
        <v>50</v>
      </c>
      <c r="F848" s="56" t="s">
        <v>298</v>
      </c>
      <c r="G848" t="s">
        <v>201</v>
      </c>
    </row>
    <row r="849" spans="1:7">
      <c r="A849" t="str">
        <f>B849&amp;Table4[[#This Row],[Tipo Servicio]]</f>
        <v>HIDALGOFLETE MOV CEDIS A CEDIS - BARRIL</v>
      </c>
      <c r="B849" t="s">
        <v>79</v>
      </c>
      <c r="C849" s="36" t="s">
        <v>49</v>
      </c>
      <c r="D849" t="s">
        <v>50</v>
      </c>
      <c r="F849" s="56" t="s">
        <v>298</v>
      </c>
      <c r="G849" t="str">
        <f>_xlfn.XLOOKUP(Table4[[#This Row],[GZ]],'[1]BASE TRADE'!$R:$R,'[1]BASE TRADE'!$Q:$Q)</f>
        <v>4. Center</v>
      </c>
    </row>
    <row r="850" spans="1:7">
      <c r="A850" t="str">
        <f>B850&amp;Table4[[#This Row],[Tipo Servicio]]</f>
        <v>JALISCO-COLIMA-NAYARITFLETE MOV CEDIS A CEDIS - BARRIL</v>
      </c>
      <c r="B850" t="s">
        <v>80</v>
      </c>
      <c r="C850" s="36" t="s">
        <v>49</v>
      </c>
      <c r="D850" t="s">
        <v>50</v>
      </c>
      <c r="F850" s="56" t="s">
        <v>298</v>
      </c>
      <c r="G850" t="s">
        <v>219</v>
      </c>
    </row>
    <row r="851" spans="1:7">
      <c r="A851" t="str">
        <f>B851&amp;Table4[[#This Row],[Tipo Servicio]]</f>
        <v>JUAREZFLETE MOV CEDIS A CEDIS - BARRIL</v>
      </c>
      <c r="B851" t="s">
        <v>81</v>
      </c>
      <c r="C851" s="36" t="s">
        <v>49</v>
      </c>
      <c r="D851" t="s">
        <v>50</v>
      </c>
      <c r="F851" s="56" t="s">
        <v>298</v>
      </c>
      <c r="G851" t="s">
        <v>139</v>
      </c>
    </row>
    <row r="852" spans="1:7">
      <c r="A852" t="str">
        <f>B852&amp;Table4[[#This Row],[Tipo Servicio]]</f>
        <v>MICHOACANFLETE MOV CEDIS A CEDIS - BARRIL</v>
      </c>
      <c r="B852" t="s">
        <v>82</v>
      </c>
      <c r="C852" s="36" t="s">
        <v>49</v>
      </c>
      <c r="D852" t="s">
        <v>50</v>
      </c>
      <c r="F852" s="56" t="s">
        <v>298</v>
      </c>
      <c r="G852" t="s">
        <v>219</v>
      </c>
    </row>
    <row r="853" spans="1:7">
      <c r="A853" t="str">
        <f>B853&amp;Table4[[#This Row],[Tipo Servicio]]</f>
        <v>NUEVO LEONFLETE MOV CEDIS A CEDIS - BARRIL</v>
      </c>
      <c r="B853" t="s">
        <v>83</v>
      </c>
      <c r="C853" s="36" t="s">
        <v>49</v>
      </c>
      <c r="D853" t="s">
        <v>50</v>
      </c>
      <c r="F853" s="56" t="s">
        <v>298</v>
      </c>
      <c r="G853" t="s">
        <v>240</v>
      </c>
    </row>
    <row r="854" spans="1:7">
      <c r="A854" t="str">
        <f>B854&amp;Table4[[#This Row],[Tipo Servicio]]</f>
        <v>OAXACAFLETE MOV CEDIS A CEDIS - BARRIL</v>
      </c>
      <c r="B854" t="s">
        <v>84</v>
      </c>
      <c r="C854" s="36" t="s">
        <v>49</v>
      </c>
      <c r="D854" t="s">
        <v>50</v>
      </c>
      <c r="F854" s="56" t="s">
        <v>298</v>
      </c>
      <c r="G854" t="str">
        <f>_xlfn.XLOOKUP(Table4[[#This Row],[GZ]],'[1]BASE TRADE'!$R:$R,'[1]BASE TRADE'!$Q:$Q)</f>
        <v>5. Southeast</v>
      </c>
    </row>
    <row r="855" spans="1:7">
      <c r="A855" t="str">
        <f>B855&amp;Table4[[#This Row],[Tipo Servicio]]</f>
        <v>PUEBLA-TLAXCALAFLETE MOV CEDIS A CEDIS - BARRIL</v>
      </c>
      <c r="B855" t="s">
        <v>85</v>
      </c>
      <c r="C855" s="36" t="s">
        <v>49</v>
      </c>
      <c r="D855" t="s">
        <v>50</v>
      </c>
      <c r="F855" s="56" t="s">
        <v>298</v>
      </c>
      <c r="G855" t="e">
        <f>_xlfn.XLOOKUP(Table4[[#This Row],[GZ]],'[1]BASE TRADE'!$R:$R,'[1]BASE TRADE'!$Q:$Q)</f>
        <v>#N/A</v>
      </c>
    </row>
    <row r="856" spans="1:7">
      <c r="A856" t="str">
        <f>B856&amp;Table4[[#This Row],[Tipo Servicio]]</f>
        <v>QROOFLETE MOV CEDIS A CEDIS - BARRIL</v>
      </c>
      <c r="B856" t="s">
        <v>86</v>
      </c>
      <c r="C856" s="36" t="s">
        <v>49</v>
      </c>
      <c r="D856" t="s">
        <v>50</v>
      </c>
      <c r="F856" s="56" t="s">
        <v>298</v>
      </c>
      <c r="G856" t="s">
        <v>176</v>
      </c>
    </row>
    <row r="857" spans="1:7">
      <c r="A857" t="str">
        <f>B857&amp;Table4[[#This Row],[Tipo Servicio]]</f>
        <v>AGS-ZAC-SLPFLETE MOV CEDIS A CEDIS - BARRIL</v>
      </c>
      <c r="B857" t="s">
        <v>61</v>
      </c>
      <c r="C857" s="36" t="s">
        <v>49</v>
      </c>
      <c r="D857" t="s">
        <v>50</v>
      </c>
      <c r="F857" s="56" t="s">
        <v>298</v>
      </c>
      <c r="G857" t="s">
        <v>219</v>
      </c>
    </row>
    <row r="858" spans="1:7">
      <c r="A858" t="str">
        <f>B858&amp;Table4[[#This Row],[Tipo Servicio]]</f>
        <v>SINALOAFLETE MOV CEDIS A CEDIS - BARRIL</v>
      </c>
      <c r="B858" t="s">
        <v>88</v>
      </c>
      <c r="C858" s="36" t="s">
        <v>49</v>
      </c>
      <c r="D858" t="s">
        <v>50</v>
      </c>
      <c r="F858" s="56" t="s">
        <v>298</v>
      </c>
      <c r="G858" t="str">
        <f>_xlfn.XLOOKUP(Table4[[#This Row],[GZ]],'[1]BASE TRADE'!$R:$R,'[1]BASE TRADE'!$Q:$Q)</f>
        <v>1. Northwest</v>
      </c>
    </row>
    <row r="859" spans="1:7">
      <c r="A859" t="str">
        <f>B859&amp;Table4[[#This Row],[Tipo Servicio]]</f>
        <v>SONORAFLETE MOV CEDIS A CEDIS - BARRIL</v>
      </c>
      <c r="B859" t="s">
        <v>90</v>
      </c>
      <c r="C859" s="36" t="s">
        <v>49</v>
      </c>
      <c r="D859" t="s">
        <v>50</v>
      </c>
      <c r="F859" s="56" t="s">
        <v>298</v>
      </c>
      <c r="G859" t="str">
        <f>_xlfn.XLOOKUP(Table4[[#This Row],[GZ]],'[1]BASE TRADE'!$R:$R,'[1]BASE TRADE'!$Q:$Q)</f>
        <v>1. Northwest</v>
      </c>
    </row>
    <row r="860" spans="1:7">
      <c r="A860" t="str">
        <f>B860&amp;Table4[[#This Row],[Tipo Servicio]]</f>
        <v>TABASCO-VER SURFLETE MOV CEDIS A CEDIS - BARRIL</v>
      </c>
      <c r="B860" t="s">
        <v>92</v>
      </c>
      <c r="C860" s="36" t="s">
        <v>49</v>
      </c>
      <c r="D860" t="s">
        <v>50</v>
      </c>
      <c r="F860" s="56" t="s">
        <v>298</v>
      </c>
      <c r="G860" t="s">
        <v>176</v>
      </c>
    </row>
    <row r="861" spans="1:7">
      <c r="A861" t="str">
        <f>B861&amp;Table4[[#This Row],[Tipo Servicio]]</f>
        <v>TAMAULIPAS NORTEFLETE MOV CEDIS A CEDIS - BARRIL</v>
      </c>
      <c r="B861" t="s">
        <v>94</v>
      </c>
      <c r="C861" s="36" t="s">
        <v>49</v>
      </c>
      <c r="D861" t="s">
        <v>50</v>
      </c>
      <c r="F861" s="56" t="s">
        <v>298</v>
      </c>
      <c r="G861" t="s">
        <v>240</v>
      </c>
    </row>
    <row r="862" spans="1:7">
      <c r="A862" t="str">
        <f>B862&amp;Table4[[#This Row],[Tipo Servicio]]</f>
        <v>TAMAULIPAS SUR-VER NTEFLETE MOV CEDIS A CEDIS - BARRIL</v>
      </c>
      <c r="B862" t="s">
        <v>6</v>
      </c>
      <c r="C862" s="36" t="s">
        <v>49</v>
      </c>
      <c r="D862" t="s">
        <v>50</v>
      </c>
      <c r="F862" s="56" t="s">
        <v>298</v>
      </c>
      <c r="G862" t="e">
        <f>_xlfn.XLOOKUP(Table4[[#This Row],[GZ]],'[1]BASE TRADE'!$R:$R,'[1]BASE TRADE'!$Q:$Q)</f>
        <v>#N/A</v>
      </c>
    </row>
    <row r="863" spans="1:7">
      <c r="A863" t="str">
        <f>B863&amp;Table4[[#This Row],[Tipo Servicio]]</f>
        <v>VDMFLETE MOV CEDIS A CEDIS - BARRIL</v>
      </c>
      <c r="B863" t="s">
        <v>96</v>
      </c>
      <c r="C863" s="36" t="s">
        <v>49</v>
      </c>
      <c r="D863" t="s">
        <v>50</v>
      </c>
      <c r="F863" s="56" t="s">
        <v>298</v>
      </c>
      <c r="G863" t="str">
        <f>_xlfn.XLOOKUP(Table4[[#This Row],[GZ]],'[1]BASE TRADE'!$R:$R,'[1]BASE TRADE'!$Q:$Q)</f>
        <v>4. Center</v>
      </c>
    </row>
    <row r="864" spans="1:7">
      <c r="A864" t="str">
        <f>B864&amp;Table4[[#This Row],[Tipo Servicio]]</f>
        <v>VERACRUZ CENTROFLETE MOV CEDIS A CEDIS - BARRIL</v>
      </c>
      <c r="B864" t="s">
        <v>98</v>
      </c>
      <c r="C864" s="36" t="s">
        <v>49</v>
      </c>
      <c r="D864" t="s">
        <v>50</v>
      </c>
      <c r="F864" s="56" t="s">
        <v>298</v>
      </c>
      <c r="G864" t="str">
        <f>_xlfn.XLOOKUP(Table4[[#This Row],[GZ]],'[1]BASE TRADE'!$R:$R,'[1]BASE TRADE'!$Q:$Q)</f>
        <v>5. Southeast</v>
      </c>
    </row>
    <row r="865" spans="1:7">
      <c r="A865" t="str">
        <f>B865&amp;Table4[[#This Row],[Tipo Servicio]]</f>
        <v>YUCAMFLETE MOV CEDIS A CEDIS - BARRIL</v>
      </c>
      <c r="B865" t="s">
        <v>100</v>
      </c>
      <c r="C865" s="36" t="s">
        <v>49</v>
      </c>
      <c r="D865" t="s">
        <v>50</v>
      </c>
      <c r="F865" s="56" t="s">
        <v>298</v>
      </c>
      <c r="G865" t="s">
        <v>176</v>
      </c>
    </row>
    <row r="866" spans="1:7">
      <c r="A866" t="str">
        <f>B866&amp;Table4[[#This Row],[Tipo Servicio]]</f>
        <v>BCNFLETE MOV CEDIS A CEDIS - MOBILIARIO</v>
      </c>
      <c r="B866" t="s">
        <v>64</v>
      </c>
      <c r="C866" s="36" t="s">
        <v>49</v>
      </c>
      <c r="D866" t="s">
        <v>50</v>
      </c>
      <c r="F866" s="56" t="s">
        <v>299</v>
      </c>
      <c r="G866" t="s">
        <v>139</v>
      </c>
    </row>
    <row r="867" spans="1:7">
      <c r="A867" t="str">
        <f>B867&amp;Table4[[#This Row],[Tipo Servicio]]</f>
        <v>BCSFLETE MOV CEDIS A CEDIS - MOBILIARIO</v>
      </c>
      <c r="B867" t="s">
        <v>67</v>
      </c>
      <c r="C867" s="36" t="s">
        <v>49</v>
      </c>
      <c r="D867" t="s">
        <v>50</v>
      </c>
      <c r="F867" s="56" t="s">
        <v>299</v>
      </c>
      <c r="G867" t="s">
        <v>139</v>
      </c>
    </row>
    <row r="868" spans="1:7">
      <c r="A868" t="str">
        <f>B868&amp;Table4[[#This Row],[Tipo Servicio]]</f>
        <v>CHIHUAHUAFLETE MOV CEDIS A CEDIS - MOBILIARIO</v>
      </c>
      <c r="B868" t="s">
        <v>70</v>
      </c>
      <c r="C868" s="36" t="s">
        <v>49</v>
      </c>
      <c r="D868" t="s">
        <v>50</v>
      </c>
      <c r="F868" s="56" t="s">
        <v>299</v>
      </c>
      <c r="G868" t="str">
        <f>_xlfn.XLOOKUP(Table4[[#This Row],[GZ]],'[1]BASE TRADE'!$R:$R,'[1]BASE TRADE'!$Q:$Q)</f>
        <v>1. Northwest</v>
      </c>
    </row>
    <row r="869" spans="1:7">
      <c r="A869" t="str">
        <f>B869&amp;Table4[[#This Row],[Tipo Servicio]]</f>
        <v>COAHUILAFLETE MOV CEDIS A CEDIS - MOBILIARIO</v>
      </c>
      <c r="B869" t="s">
        <v>72</v>
      </c>
      <c r="C869" s="36" t="s">
        <v>49</v>
      </c>
      <c r="D869" t="s">
        <v>50</v>
      </c>
      <c r="F869" s="56" t="s">
        <v>299</v>
      </c>
      <c r="G869" t="str">
        <f>_xlfn.XLOOKUP(Table4[[#This Row],[GZ]],'[1]BASE TRADE'!$R:$R,'[1]BASE TRADE'!$Q:$Q)</f>
        <v>2. Northeast</v>
      </c>
    </row>
    <row r="870" spans="1:7">
      <c r="A870" t="str">
        <f>B870&amp;Table4[[#This Row],[Tipo Servicio]]</f>
        <v>DURANGOFLETE MOV CEDIS A CEDIS - MOBILIARIO</v>
      </c>
      <c r="B870" t="s">
        <v>73</v>
      </c>
      <c r="C870" s="36" t="s">
        <v>49</v>
      </c>
      <c r="D870" t="s">
        <v>50</v>
      </c>
      <c r="F870" s="56" t="s">
        <v>299</v>
      </c>
      <c r="G870" t="str">
        <f>_xlfn.XLOOKUP(Table4[[#This Row],[GZ]],'[1]BASE TRADE'!$R:$R,'[1]BASE TRADE'!$Q:$Q)</f>
        <v>2. Northeast</v>
      </c>
    </row>
    <row r="871" spans="1:7">
      <c r="A871" t="str">
        <f>B871&amp;Table4[[#This Row],[Tipo Servicio]]</f>
        <v>EDO DE MEXICOFLETE MOV CEDIS A CEDIS - MOBILIARIO</v>
      </c>
      <c r="B871" t="s">
        <v>74</v>
      </c>
      <c r="C871" s="36" t="s">
        <v>49</v>
      </c>
      <c r="D871" t="s">
        <v>50</v>
      </c>
      <c r="F871" s="56" t="s">
        <v>299</v>
      </c>
      <c r="G871" t="s">
        <v>201</v>
      </c>
    </row>
    <row r="872" spans="1:7">
      <c r="A872" t="str">
        <f>B872&amp;Table4[[#This Row],[Tipo Servicio]]</f>
        <v>FRANQUICIA CHIAPASFLETE MOV CEDIS A CEDIS - MOBILIARIO</v>
      </c>
      <c r="B872" t="s">
        <v>75</v>
      </c>
      <c r="C872" s="36" t="s">
        <v>49</v>
      </c>
      <c r="D872" t="s">
        <v>50</v>
      </c>
      <c r="F872" s="56" t="s">
        <v>299</v>
      </c>
      <c r="G872" t="s">
        <v>176</v>
      </c>
    </row>
    <row r="873" spans="1:7">
      <c r="A873" t="str">
        <f>B873&amp;Table4[[#This Row],[Tipo Servicio]]</f>
        <v>QRO-GTOFLETE MOV CEDIS A CEDIS - MOBILIARIO</v>
      </c>
      <c r="B873" t="s">
        <v>76</v>
      </c>
      <c r="C873" s="36" t="s">
        <v>49</v>
      </c>
      <c r="D873" t="s">
        <v>50</v>
      </c>
      <c r="F873" s="56" t="s">
        <v>299</v>
      </c>
      <c r="G873" t="s">
        <v>219</v>
      </c>
    </row>
    <row r="874" spans="1:7">
      <c r="A874" t="str">
        <f>B874&amp;Table4[[#This Row],[Tipo Servicio]]</f>
        <v>HIDALGOFLETE MOV CEDIS A CEDIS - MOBILIARIO</v>
      </c>
      <c r="B874" t="s">
        <v>79</v>
      </c>
      <c r="C874" s="36" t="s">
        <v>49</v>
      </c>
      <c r="D874" t="s">
        <v>50</v>
      </c>
      <c r="F874" s="56" t="s">
        <v>299</v>
      </c>
      <c r="G874" t="str">
        <f>_xlfn.XLOOKUP(Table4[[#This Row],[GZ]],'[1]BASE TRADE'!$R:$R,'[1]BASE TRADE'!$Q:$Q)</f>
        <v>4. Center</v>
      </c>
    </row>
    <row r="875" spans="1:7">
      <c r="A875" t="str">
        <f>B875&amp;Table4[[#This Row],[Tipo Servicio]]</f>
        <v>JALISCO-COLIMA-NAYARITFLETE MOV CEDIS A CEDIS - MOBILIARIO</v>
      </c>
      <c r="B875" t="s">
        <v>80</v>
      </c>
      <c r="C875" s="36" t="s">
        <v>49</v>
      </c>
      <c r="D875" t="s">
        <v>50</v>
      </c>
      <c r="F875" s="56" t="s">
        <v>299</v>
      </c>
      <c r="G875" t="s">
        <v>219</v>
      </c>
    </row>
    <row r="876" spans="1:7">
      <c r="A876" t="str">
        <f>B876&amp;Table4[[#This Row],[Tipo Servicio]]</f>
        <v>JUAREZFLETE MOV CEDIS A CEDIS - MOBILIARIO</v>
      </c>
      <c r="B876" t="s">
        <v>81</v>
      </c>
      <c r="C876" s="36" t="s">
        <v>49</v>
      </c>
      <c r="D876" t="s">
        <v>50</v>
      </c>
      <c r="F876" s="56" t="s">
        <v>299</v>
      </c>
      <c r="G876" t="s">
        <v>139</v>
      </c>
    </row>
    <row r="877" spans="1:7">
      <c r="A877" t="str">
        <f>B877&amp;Table4[[#This Row],[Tipo Servicio]]</f>
        <v>MICHOACANFLETE MOV CEDIS A CEDIS - MOBILIARIO</v>
      </c>
      <c r="B877" t="s">
        <v>82</v>
      </c>
      <c r="C877" s="36" t="s">
        <v>49</v>
      </c>
      <c r="D877" t="s">
        <v>50</v>
      </c>
      <c r="F877" s="56" t="s">
        <v>299</v>
      </c>
      <c r="G877" t="s">
        <v>219</v>
      </c>
    </row>
    <row r="878" spans="1:7">
      <c r="A878" t="str">
        <f>B878&amp;Table4[[#This Row],[Tipo Servicio]]</f>
        <v>GRO-MORFLETE MOV CEDIS A CEDIS - MOBILIARIO</v>
      </c>
      <c r="B878" t="s">
        <v>77</v>
      </c>
      <c r="C878" s="36" t="s">
        <v>49</v>
      </c>
      <c r="D878" t="s">
        <v>50</v>
      </c>
      <c r="F878" s="56" t="s">
        <v>299</v>
      </c>
      <c r="G878" t="s">
        <v>201</v>
      </c>
    </row>
    <row r="879" spans="1:7">
      <c r="A879" t="str">
        <f>B879&amp;Table4[[#This Row],[Tipo Servicio]]</f>
        <v>NUEVO LEONFLETE MOV CEDIS A CEDIS - MOBILIARIO</v>
      </c>
      <c r="B879" t="s">
        <v>83</v>
      </c>
      <c r="C879" s="36" t="s">
        <v>49</v>
      </c>
      <c r="D879" t="s">
        <v>50</v>
      </c>
      <c r="F879" s="56" t="s">
        <v>299</v>
      </c>
      <c r="G879" t="s">
        <v>240</v>
      </c>
    </row>
    <row r="880" spans="1:7">
      <c r="A880" t="str">
        <f>B880&amp;Table4[[#This Row],[Tipo Servicio]]</f>
        <v>OAXACAFLETE MOV CEDIS A CEDIS - MOBILIARIO</v>
      </c>
      <c r="B880" t="s">
        <v>84</v>
      </c>
      <c r="C880" s="36" t="s">
        <v>49</v>
      </c>
      <c r="D880" t="s">
        <v>50</v>
      </c>
      <c r="F880" s="56" t="s">
        <v>299</v>
      </c>
      <c r="G880" t="str">
        <f>_xlfn.XLOOKUP(Table4[[#This Row],[GZ]],'[1]BASE TRADE'!$R:$R,'[1]BASE TRADE'!$Q:$Q)</f>
        <v>5. Southeast</v>
      </c>
    </row>
    <row r="881" spans="1:7">
      <c r="A881" t="str">
        <f>B881&amp;Table4[[#This Row],[Tipo Servicio]]</f>
        <v>PUEBLA-TLAXCALAFLETE MOV CEDIS A CEDIS - MOBILIARIO</v>
      </c>
      <c r="B881" t="s">
        <v>85</v>
      </c>
      <c r="C881" s="36" t="s">
        <v>49</v>
      </c>
      <c r="D881" t="s">
        <v>50</v>
      </c>
      <c r="F881" s="56" t="s">
        <v>299</v>
      </c>
      <c r="G881" t="e">
        <f>_xlfn.XLOOKUP(Table4[[#This Row],[GZ]],'[1]BASE TRADE'!$R:$R,'[1]BASE TRADE'!$Q:$Q)</f>
        <v>#N/A</v>
      </c>
    </row>
    <row r="882" spans="1:7">
      <c r="A882" t="str">
        <f>B882&amp;Table4[[#This Row],[Tipo Servicio]]</f>
        <v>QROOFLETE MOV CEDIS A CEDIS - MOBILIARIO</v>
      </c>
      <c r="B882" t="s">
        <v>86</v>
      </c>
      <c r="C882" s="36" t="s">
        <v>49</v>
      </c>
      <c r="D882" t="s">
        <v>50</v>
      </c>
      <c r="F882" s="56" t="s">
        <v>299</v>
      </c>
      <c r="G882" t="s">
        <v>176</v>
      </c>
    </row>
    <row r="883" spans="1:7">
      <c r="A883" t="str">
        <f>B883&amp;Table4[[#This Row],[Tipo Servicio]]</f>
        <v>AGS-ZAC-SLPFLETE MOV CEDIS A CEDIS - MOBILIARIO</v>
      </c>
      <c r="B883" t="s">
        <v>61</v>
      </c>
      <c r="C883" s="36" t="s">
        <v>49</v>
      </c>
      <c r="D883" t="s">
        <v>50</v>
      </c>
      <c r="F883" s="56" t="s">
        <v>299</v>
      </c>
      <c r="G883" t="s">
        <v>219</v>
      </c>
    </row>
    <row r="884" spans="1:7">
      <c r="A884" t="str">
        <f>B884&amp;Table4[[#This Row],[Tipo Servicio]]</f>
        <v>SINALOAFLETE MOV CEDIS A CEDIS - MOBILIARIO</v>
      </c>
      <c r="B884" t="s">
        <v>88</v>
      </c>
      <c r="C884" s="36" t="s">
        <v>49</v>
      </c>
      <c r="D884" t="s">
        <v>50</v>
      </c>
      <c r="F884" s="56" t="s">
        <v>299</v>
      </c>
      <c r="G884" t="str">
        <f>_xlfn.XLOOKUP(Table4[[#This Row],[GZ]],'[1]BASE TRADE'!$R:$R,'[1]BASE TRADE'!$Q:$Q)</f>
        <v>1. Northwest</v>
      </c>
    </row>
    <row r="885" spans="1:7">
      <c r="A885" t="str">
        <f>B885&amp;Table4[[#This Row],[Tipo Servicio]]</f>
        <v>SONORAFLETE MOV CEDIS A CEDIS - MOBILIARIO</v>
      </c>
      <c r="B885" t="s">
        <v>90</v>
      </c>
      <c r="C885" s="36" t="s">
        <v>49</v>
      </c>
      <c r="D885" t="s">
        <v>50</v>
      </c>
      <c r="F885" s="56" t="s">
        <v>299</v>
      </c>
      <c r="G885" t="str">
        <f>_xlfn.XLOOKUP(Table4[[#This Row],[GZ]],'[1]BASE TRADE'!$R:$R,'[1]BASE TRADE'!$Q:$Q)</f>
        <v>1. Northwest</v>
      </c>
    </row>
    <row r="886" spans="1:7">
      <c r="A886" t="str">
        <f>B886&amp;Table4[[#This Row],[Tipo Servicio]]</f>
        <v>TABASCO-VER SURFLETE MOV CEDIS A CEDIS - MOBILIARIO</v>
      </c>
      <c r="B886" t="s">
        <v>92</v>
      </c>
      <c r="C886" s="36" t="s">
        <v>49</v>
      </c>
      <c r="D886" t="s">
        <v>50</v>
      </c>
      <c r="F886" s="56" t="s">
        <v>299</v>
      </c>
      <c r="G886" t="s">
        <v>176</v>
      </c>
    </row>
    <row r="887" spans="1:7">
      <c r="A887" t="str">
        <f>B887&amp;Table4[[#This Row],[Tipo Servicio]]</f>
        <v>TAMAULIPAS NORTEFLETE MOV CEDIS A CEDIS - MOBILIARIO</v>
      </c>
      <c r="B887" t="s">
        <v>94</v>
      </c>
      <c r="C887" s="36" t="s">
        <v>49</v>
      </c>
      <c r="D887" t="s">
        <v>50</v>
      </c>
      <c r="F887" s="56" t="s">
        <v>299</v>
      </c>
      <c r="G887" t="s">
        <v>240</v>
      </c>
    </row>
    <row r="888" spans="1:7">
      <c r="A888" t="str">
        <f>B888&amp;Table4[[#This Row],[Tipo Servicio]]</f>
        <v>TAMAULIPAS SUR-VER NTEFLETE MOV CEDIS A CEDIS - MOBILIARIO</v>
      </c>
      <c r="B888" t="s">
        <v>6</v>
      </c>
      <c r="C888" s="36" t="s">
        <v>49</v>
      </c>
      <c r="D888" t="s">
        <v>50</v>
      </c>
      <c r="F888" s="56" t="s">
        <v>299</v>
      </c>
      <c r="G888" t="e">
        <f>_xlfn.XLOOKUP(Table4[[#This Row],[GZ]],'[1]BASE TRADE'!$R:$R,'[1]BASE TRADE'!$Q:$Q)</f>
        <v>#N/A</v>
      </c>
    </row>
    <row r="889" spans="1:7">
      <c r="A889" t="str">
        <f>B889&amp;Table4[[#This Row],[Tipo Servicio]]</f>
        <v>VDMFLETE MOV CEDIS A CEDIS - MOBILIARIO</v>
      </c>
      <c r="B889" t="s">
        <v>96</v>
      </c>
      <c r="C889" s="36" t="s">
        <v>49</v>
      </c>
      <c r="D889" t="s">
        <v>50</v>
      </c>
      <c r="F889" s="56" t="s">
        <v>299</v>
      </c>
      <c r="G889" t="str">
        <f>_xlfn.XLOOKUP(Table4[[#This Row],[GZ]],'[1]BASE TRADE'!$R:$R,'[1]BASE TRADE'!$Q:$Q)</f>
        <v>4. Center</v>
      </c>
    </row>
    <row r="890" spans="1:7">
      <c r="A890" t="str">
        <f>B890&amp;Table4[[#This Row],[Tipo Servicio]]</f>
        <v>VERACRUZ CENTROFLETE MOV CEDIS A CEDIS - MOBILIARIO</v>
      </c>
      <c r="B890" t="s">
        <v>98</v>
      </c>
      <c r="C890" s="36" t="s">
        <v>49</v>
      </c>
      <c r="D890" t="s">
        <v>50</v>
      </c>
      <c r="F890" s="56" t="s">
        <v>299</v>
      </c>
      <c r="G890" t="str">
        <f>_xlfn.XLOOKUP(Table4[[#This Row],[GZ]],'[1]BASE TRADE'!$R:$R,'[1]BASE TRADE'!$Q:$Q)</f>
        <v>5. Southeast</v>
      </c>
    </row>
    <row r="891" spans="1:7">
      <c r="A891" t="str">
        <f>B891&amp;Table4[[#This Row],[Tipo Servicio]]</f>
        <v>YUCAMFLETE MOV CEDIS A CEDIS - MOBILIARIO</v>
      </c>
      <c r="B891" t="s">
        <v>100</v>
      </c>
      <c r="C891" s="36" t="s">
        <v>49</v>
      </c>
      <c r="D891" t="s">
        <v>50</v>
      </c>
      <c r="F891" s="56" t="s">
        <v>299</v>
      </c>
      <c r="G891" t="s">
        <v>176</v>
      </c>
    </row>
    <row r="892" spans="1:7">
      <c r="A892" t="str">
        <f>B892&amp;Table4[[#This Row],[Tipo Servicio]]</f>
        <v>BCNFLETE MOV CEDIS A CEDIS - VISIBILIDAD</v>
      </c>
      <c r="B892" t="s">
        <v>64</v>
      </c>
      <c r="C892" s="36" t="s">
        <v>49</v>
      </c>
      <c r="D892" t="s">
        <v>50</v>
      </c>
      <c r="F892" s="56" t="s">
        <v>300</v>
      </c>
      <c r="G892" t="s">
        <v>139</v>
      </c>
    </row>
    <row r="893" spans="1:7">
      <c r="A893" t="str">
        <f>B893&amp;Table4[[#This Row],[Tipo Servicio]]</f>
        <v>BCSFLETE MOV CEDIS A CEDIS - VISIBILIDAD</v>
      </c>
      <c r="B893" t="s">
        <v>67</v>
      </c>
      <c r="C893" s="36" t="s">
        <v>49</v>
      </c>
      <c r="D893" t="s">
        <v>50</v>
      </c>
      <c r="F893" s="56" t="s">
        <v>300</v>
      </c>
      <c r="G893" t="s">
        <v>139</v>
      </c>
    </row>
    <row r="894" spans="1:7">
      <c r="A894" t="str">
        <f>B894&amp;Table4[[#This Row],[Tipo Servicio]]</f>
        <v>CHIHUAHUAFLETE MOV CEDIS A CEDIS - VISIBILIDAD</v>
      </c>
      <c r="B894" t="s">
        <v>70</v>
      </c>
      <c r="C894" s="36" t="s">
        <v>49</v>
      </c>
      <c r="D894" t="s">
        <v>50</v>
      </c>
      <c r="F894" s="56" t="s">
        <v>300</v>
      </c>
      <c r="G894" t="str">
        <f>_xlfn.XLOOKUP(Table4[[#This Row],[GZ]],'[1]BASE TRADE'!$R:$R,'[1]BASE TRADE'!$Q:$Q)</f>
        <v>1. Northwest</v>
      </c>
    </row>
    <row r="895" spans="1:7">
      <c r="A895" t="str">
        <f>B895&amp;Table4[[#This Row],[Tipo Servicio]]</f>
        <v>COAHUILAFLETE MOV CEDIS A CEDIS - VISIBILIDAD</v>
      </c>
      <c r="B895" t="s">
        <v>72</v>
      </c>
      <c r="C895" s="36" t="s">
        <v>49</v>
      </c>
      <c r="D895" t="s">
        <v>50</v>
      </c>
      <c r="F895" s="56" t="s">
        <v>300</v>
      </c>
      <c r="G895" t="str">
        <f>_xlfn.XLOOKUP(Table4[[#This Row],[GZ]],'[1]BASE TRADE'!$R:$R,'[1]BASE TRADE'!$Q:$Q)</f>
        <v>2. Northeast</v>
      </c>
    </row>
    <row r="896" spans="1:7">
      <c r="A896" t="str">
        <f>B896&amp;Table4[[#This Row],[Tipo Servicio]]</f>
        <v>DURANGOFLETE MOV CEDIS A CEDIS - VISIBILIDAD</v>
      </c>
      <c r="B896" t="s">
        <v>73</v>
      </c>
      <c r="C896" s="36" t="s">
        <v>49</v>
      </c>
      <c r="D896" t="s">
        <v>50</v>
      </c>
      <c r="F896" s="56" t="s">
        <v>300</v>
      </c>
      <c r="G896" t="str">
        <f>_xlfn.XLOOKUP(Table4[[#This Row],[GZ]],'[1]BASE TRADE'!$R:$R,'[1]BASE TRADE'!$Q:$Q)</f>
        <v>2. Northeast</v>
      </c>
    </row>
    <row r="897" spans="1:7">
      <c r="A897" t="str">
        <f>B897&amp;Table4[[#This Row],[Tipo Servicio]]</f>
        <v>EDO DE MEXICOFLETE MOV CEDIS A CEDIS - VISIBILIDAD</v>
      </c>
      <c r="B897" t="s">
        <v>74</v>
      </c>
      <c r="C897" s="36" t="s">
        <v>49</v>
      </c>
      <c r="D897" t="s">
        <v>50</v>
      </c>
      <c r="F897" s="56" t="s">
        <v>300</v>
      </c>
      <c r="G897" t="s">
        <v>201</v>
      </c>
    </row>
    <row r="898" spans="1:7">
      <c r="A898" t="str">
        <f>B898&amp;Table4[[#This Row],[Tipo Servicio]]</f>
        <v>FRANQUICIA CHIAPASFLETE MOV CEDIS A CEDIS - VISIBILIDAD</v>
      </c>
      <c r="B898" t="s">
        <v>75</v>
      </c>
      <c r="C898" s="36" t="s">
        <v>49</v>
      </c>
      <c r="D898" t="s">
        <v>50</v>
      </c>
      <c r="F898" s="56" t="s">
        <v>300</v>
      </c>
      <c r="G898" t="s">
        <v>176</v>
      </c>
    </row>
    <row r="899" spans="1:7">
      <c r="A899" t="str">
        <f>B899&amp;Table4[[#This Row],[Tipo Servicio]]</f>
        <v>QRO-GTOFLETE MOV CEDIS A CEDIS - VISIBILIDAD</v>
      </c>
      <c r="B899" t="s">
        <v>76</v>
      </c>
      <c r="C899" s="36" t="s">
        <v>49</v>
      </c>
      <c r="D899" t="s">
        <v>50</v>
      </c>
      <c r="F899" s="56" t="s">
        <v>300</v>
      </c>
      <c r="G899" t="s">
        <v>219</v>
      </c>
    </row>
    <row r="900" spans="1:7">
      <c r="A900" t="str">
        <f>B900&amp;Table4[[#This Row],[Tipo Servicio]]</f>
        <v>HIDALGOFLETE MOV CEDIS A CEDIS - VISIBILIDAD</v>
      </c>
      <c r="B900" t="s">
        <v>79</v>
      </c>
      <c r="C900" s="36" t="s">
        <v>49</v>
      </c>
      <c r="D900" t="s">
        <v>50</v>
      </c>
      <c r="F900" s="56" t="s">
        <v>300</v>
      </c>
      <c r="G900" t="str">
        <f>_xlfn.XLOOKUP(Table4[[#This Row],[GZ]],'[1]BASE TRADE'!$R:$R,'[1]BASE TRADE'!$Q:$Q)</f>
        <v>4. Center</v>
      </c>
    </row>
    <row r="901" spans="1:7">
      <c r="A901" t="str">
        <f>B901&amp;Table4[[#This Row],[Tipo Servicio]]</f>
        <v>JALISCO-COLIMA-NAYARITFLETE MOV CEDIS A CEDIS - VISIBILIDAD</v>
      </c>
      <c r="B901" t="s">
        <v>80</v>
      </c>
      <c r="C901" s="36" t="s">
        <v>49</v>
      </c>
      <c r="D901" t="s">
        <v>50</v>
      </c>
      <c r="F901" s="56" t="s">
        <v>300</v>
      </c>
      <c r="G901" t="s">
        <v>219</v>
      </c>
    </row>
    <row r="902" spans="1:7">
      <c r="A902" t="str">
        <f>B902&amp;Table4[[#This Row],[Tipo Servicio]]</f>
        <v>JUAREZFLETE MOV CEDIS A CEDIS - VISIBILIDAD</v>
      </c>
      <c r="B902" t="s">
        <v>81</v>
      </c>
      <c r="C902" s="36" t="s">
        <v>49</v>
      </c>
      <c r="D902" t="s">
        <v>50</v>
      </c>
      <c r="F902" s="56" t="s">
        <v>300</v>
      </c>
      <c r="G902" t="s">
        <v>139</v>
      </c>
    </row>
    <row r="903" spans="1:7">
      <c r="A903" t="str">
        <f>B903&amp;Table4[[#This Row],[Tipo Servicio]]</f>
        <v>MICHOACANFLETE MOV CEDIS A CEDIS - VISIBILIDAD</v>
      </c>
      <c r="B903" t="s">
        <v>82</v>
      </c>
      <c r="C903" s="36" t="s">
        <v>49</v>
      </c>
      <c r="D903" t="s">
        <v>50</v>
      </c>
      <c r="F903" s="56" t="s">
        <v>300</v>
      </c>
      <c r="G903" t="s">
        <v>219</v>
      </c>
    </row>
    <row r="904" spans="1:7">
      <c r="A904" t="str">
        <f>B904&amp;Table4[[#This Row],[Tipo Servicio]]</f>
        <v>GRO-MORFLETE MOV CEDIS A CEDIS - VISIBILIDAD</v>
      </c>
      <c r="B904" t="s">
        <v>77</v>
      </c>
      <c r="C904" s="36" t="s">
        <v>49</v>
      </c>
      <c r="D904" t="s">
        <v>50</v>
      </c>
      <c r="F904" s="56" t="s">
        <v>300</v>
      </c>
      <c r="G904" t="s">
        <v>201</v>
      </c>
    </row>
    <row r="905" spans="1:7">
      <c r="A905" t="str">
        <f>B905&amp;Table4[[#This Row],[Tipo Servicio]]</f>
        <v>NUEVO LEONFLETE MOV CEDIS A CEDIS - VISIBILIDAD</v>
      </c>
      <c r="B905" t="s">
        <v>83</v>
      </c>
      <c r="C905" s="36" t="s">
        <v>49</v>
      </c>
      <c r="D905" t="s">
        <v>50</v>
      </c>
      <c r="F905" s="56" t="s">
        <v>300</v>
      </c>
      <c r="G905" t="s">
        <v>240</v>
      </c>
    </row>
    <row r="906" spans="1:7">
      <c r="A906" t="str">
        <f>B906&amp;Table4[[#This Row],[Tipo Servicio]]</f>
        <v>OAXACAFLETE MOV CEDIS A CEDIS - VISIBILIDAD</v>
      </c>
      <c r="B906" t="s">
        <v>84</v>
      </c>
      <c r="C906" s="36" t="s">
        <v>49</v>
      </c>
      <c r="D906" t="s">
        <v>50</v>
      </c>
      <c r="F906" s="56" t="s">
        <v>300</v>
      </c>
      <c r="G906" t="str">
        <f>_xlfn.XLOOKUP(Table4[[#This Row],[GZ]],'[1]BASE TRADE'!$R:$R,'[1]BASE TRADE'!$Q:$Q)</f>
        <v>5. Southeast</v>
      </c>
    </row>
    <row r="907" spans="1:7">
      <c r="A907" t="str">
        <f>B907&amp;Table4[[#This Row],[Tipo Servicio]]</f>
        <v>PUEBLA-TLAXCALAFLETE MOV CEDIS A CEDIS - VISIBILIDAD</v>
      </c>
      <c r="B907" t="s">
        <v>85</v>
      </c>
      <c r="C907" s="36" t="s">
        <v>49</v>
      </c>
      <c r="D907" t="s">
        <v>50</v>
      </c>
      <c r="F907" s="56" t="s">
        <v>300</v>
      </c>
      <c r="G907" t="e">
        <f>_xlfn.XLOOKUP(Table4[[#This Row],[GZ]],'[1]BASE TRADE'!$R:$R,'[1]BASE TRADE'!$Q:$Q)</f>
        <v>#N/A</v>
      </c>
    </row>
    <row r="908" spans="1:7">
      <c r="A908" t="str">
        <f>B908&amp;Table4[[#This Row],[Tipo Servicio]]</f>
        <v>QROOFLETE MOV CEDIS A CEDIS - VISIBILIDAD</v>
      </c>
      <c r="B908" t="s">
        <v>86</v>
      </c>
      <c r="C908" s="36" t="s">
        <v>49</v>
      </c>
      <c r="D908" t="s">
        <v>50</v>
      </c>
      <c r="F908" s="56" t="s">
        <v>300</v>
      </c>
      <c r="G908" t="s">
        <v>176</v>
      </c>
    </row>
    <row r="909" spans="1:7">
      <c r="A909" t="str">
        <f>B909&amp;Table4[[#This Row],[Tipo Servicio]]</f>
        <v>AGS-ZAC-SLPFLETE MOV CEDIS A CEDIS - VISIBILIDAD</v>
      </c>
      <c r="B909" t="s">
        <v>61</v>
      </c>
      <c r="C909" s="36" t="s">
        <v>49</v>
      </c>
      <c r="D909" t="s">
        <v>50</v>
      </c>
      <c r="F909" s="56" t="s">
        <v>300</v>
      </c>
      <c r="G909" t="s">
        <v>219</v>
      </c>
    </row>
    <row r="910" spans="1:7">
      <c r="A910" t="str">
        <f>B910&amp;Table4[[#This Row],[Tipo Servicio]]</f>
        <v>SINALOAFLETE MOV CEDIS A CEDIS - VISIBILIDAD</v>
      </c>
      <c r="B910" t="s">
        <v>88</v>
      </c>
      <c r="C910" s="36" t="s">
        <v>49</v>
      </c>
      <c r="D910" t="s">
        <v>50</v>
      </c>
      <c r="F910" s="56" t="s">
        <v>300</v>
      </c>
      <c r="G910" t="str">
        <f>_xlfn.XLOOKUP(Table4[[#This Row],[GZ]],'[1]BASE TRADE'!$R:$R,'[1]BASE TRADE'!$Q:$Q)</f>
        <v>1. Northwest</v>
      </c>
    </row>
    <row r="911" spans="1:7">
      <c r="A911" t="str">
        <f>B911&amp;Table4[[#This Row],[Tipo Servicio]]</f>
        <v>SONORAFLETE MOV CEDIS A CEDIS - VISIBILIDAD</v>
      </c>
      <c r="B911" t="s">
        <v>90</v>
      </c>
      <c r="C911" s="36" t="s">
        <v>49</v>
      </c>
      <c r="D911" t="s">
        <v>50</v>
      </c>
      <c r="F911" s="56" t="s">
        <v>300</v>
      </c>
      <c r="G911" t="str">
        <f>_xlfn.XLOOKUP(Table4[[#This Row],[GZ]],'[1]BASE TRADE'!$R:$R,'[1]BASE TRADE'!$Q:$Q)</f>
        <v>1. Northwest</v>
      </c>
    </row>
    <row r="912" spans="1:7">
      <c r="A912" t="str">
        <f>B912&amp;Table4[[#This Row],[Tipo Servicio]]</f>
        <v>TABASCO-VER SURFLETE MOV CEDIS A CEDIS - VISIBILIDAD</v>
      </c>
      <c r="B912" t="s">
        <v>92</v>
      </c>
      <c r="C912" s="36" t="s">
        <v>49</v>
      </c>
      <c r="D912" t="s">
        <v>50</v>
      </c>
      <c r="F912" s="56" t="s">
        <v>300</v>
      </c>
      <c r="G912" t="s">
        <v>176</v>
      </c>
    </row>
    <row r="913" spans="1:7">
      <c r="A913" t="str">
        <f>B913&amp;Table4[[#This Row],[Tipo Servicio]]</f>
        <v>TAMAULIPAS NORTEFLETE MOV CEDIS A CEDIS - VISIBILIDAD</v>
      </c>
      <c r="B913" t="s">
        <v>94</v>
      </c>
      <c r="C913" s="36" t="s">
        <v>49</v>
      </c>
      <c r="D913" t="s">
        <v>50</v>
      </c>
      <c r="F913" s="56" t="s">
        <v>300</v>
      </c>
      <c r="G913" t="s">
        <v>240</v>
      </c>
    </row>
    <row r="914" spans="1:7">
      <c r="A914" t="str">
        <f>B914&amp;Table4[[#This Row],[Tipo Servicio]]</f>
        <v>TAMAULIPAS SUR-VER NTEFLETE MOV CEDIS A CEDIS - VISIBILIDAD</v>
      </c>
      <c r="B914" t="s">
        <v>6</v>
      </c>
      <c r="C914" s="36" t="s">
        <v>49</v>
      </c>
      <c r="D914" t="s">
        <v>50</v>
      </c>
      <c r="F914" s="56" t="s">
        <v>300</v>
      </c>
      <c r="G914" t="e">
        <f>_xlfn.XLOOKUP(Table4[[#This Row],[GZ]],'[1]BASE TRADE'!$R:$R,'[1]BASE TRADE'!$Q:$Q)</f>
        <v>#N/A</v>
      </c>
    </row>
    <row r="915" spans="1:7">
      <c r="A915" t="str">
        <f>B915&amp;Table4[[#This Row],[Tipo Servicio]]</f>
        <v>VDMFLETE MOV CEDIS A CEDIS - VISIBILIDAD</v>
      </c>
      <c r="B915" t="s">
        <v>96</v>
      </c>
      <c r="C915" s="36" t="s">
        <v>49</v>
      </c>
      <c r="D915" t="s">
        <v>50</v>
      </c>
      <c r="F915" s="56" t="s">
        <v>300</v>
      </c>
      <c r="G915" t="str">
        <f>_xlfn.XLOOKUP(Table4[[#This Row],[GZ]],'[1]BASE TRADE'!$R:$R,'[1]BASE TRADE'!$Q:$Q)</f>
        <v>4. Center</v>
      </c>
    </row>
    <row r="916" spans="1:7">
      <c r="A916" t="str">
        <f>B916&amp;Table4[[#This Row],[Tipo Servicio]]</f>
        <v>VERACRUZ CENTROFLETE MOV CEDIS A CEDIS - VISIBILIDAD</v>
      </c>
      <c r="B916" t="s">
        <v>98</v>
      </c>
      <c r="C916" s="36" t="s">
        <v>49</v>
      </c>
      <c r="D916" t="s">
        <v>50</v>
      </c>
      <c r="F916" s="56" t="s">
        <v>300</v>
      </c>
      <c r="G916" t="str">
        <f>_xlfn.XLOOKUP(Table4[[#This Row],[GZ]],'[1]BASE TRADE'!$R:$R,'[1]BASE TRADE'!$Q:$Q)</f>
        <v>5. Southeast</v>
      </c>
    </row>
    <row r="917" spans="1:7">
      <c r="A917" t="str">
        <f>B917&amp;Table4[[#This Row],[Tipo Servicio]]</f>
        <v>YUCAMFLETE MOV CEDIS A CEDIS - VISIBILIDAD</v>
      </c>
      <c r="B917" t="s">
        <v>100</v>
      </c>
      <c r="C917" s="36" t="s">
        <v>49</v>
      </c>
      <c r="D917" t="s">
        <v>50</v>
      </c>
      <c r="F917" s="56" t="s">
        <v>300</v>
      </c>
      <c r="G917" t="s">
        <v>176</v>
      </c>
    </row>
  </sheetData>
  <sheetProtection algorithmName="SHA-512" hashValue="gvT6M7KdACw55nqtUy7OtOZpvn/vC6sf0tkuNFvJtHPcoJnc9XNOpSFhnQIRnbZWIEnuSdJptY4D9AfvRKOhfw==" saltValue="FBsp0IUw4OHjxH7z6R8prw==" spinCount="100000" sheet="1" formatCells="0" formatColumns="0" formatRows="0" insertColumns="0" insertRows="0" insertHyperlinks="0" deleteColumns="0" deleteRows="0" sort="0" autoFilter="0" pivotTables="0"/>
  <conditionalFormatting sqref="A1:A1048576">
    <cfRule type="duplicateValues" dxfId="9" priority="1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EC9D-0E6E-4998-80D8-3730B0C73D7A}">
  <dimension ref="A1:D35"/>
  <sheetViews>
    <sheetView topLeftCell="A17" workbookViewId="0">
      <selection activeCell="C35" sqref="C35"/>
    </sheetView>
  </sheetViews>
  <sheetFormatPr defaultColWidth="9.140625" defaultRowHeight="14.45"/>
  <cols>
    <col min="1" max="1" width="22.42578125" bestFit="1" customWidth="1"/>
    <col min="2" max="2" width="17.85546875" bestFit="1" customWidth="1"/>
    <col min="3" max="3" width="38.28515625" bestFit="1" customWidth="1"/>
    <col min="4" max="4" width="23.7109375" bestFit="1" customWidth="1"/>
  </cols>
  <sheetData>
    <row r="1" spans="1:4">
      <c r="A1" s="2" t="s">
        <v>53</v>
      </c>
      <c r="B1" s="2" t="s">
        <v>54</v>
      </c>
      <c r="C1" s="2" t="s">
        <v>15</v>
      </c>
      <c r="D1" s="2" t="s">
        <v>121</v>
      </c>
    </row>
    <row r="2" spans="1:4">
      <c r="A2" s="2" t="s">
        <v>58</v>
      </c>
      <c r="B2" s="2" t="s">
        <v>60</v>
      </c>
      <c r="C2" s="2" t="str">
        <f>Table2[[#This Row],[Servicio]]&amp;" - "&amp;Table2[[#This Row],[Tipo de Equipo]]</f>
        <v>MTTO CORRECTIVO RUTA - ENFRIADOR</v>
      </c>
      <c r="D2" s="2" t="s">
        <v>132</v>
      </c>
    </row>
    <row r="3" spans="1:4">
      <c r="A3" s="2" t="s">
        <v>58</v>
      </c>
      <c r="B3" s="2" t="s">
        <v>63</v>
      </c>
      <c r="C3" s="2" t="str">
        <f>Table2[[#This Row],[Servicio]]&amp;" - "&amp;Table2[[#This Row],[Tipo de Equipo]]</f>
        <v>MTTO CORRECTIVO RUTA - MAQUINA HIELO</v>
      </c>
      <c r="D3" s="2" t="s">
        <v>128</v>
      </c>
    </row>
    <row r="4" spans="1:4">
      <c r="A4" s="2" t="s">
        <v>58</v>
      </c>
      <c r="B4" s="2" t="s">
        <v>66</v>
      </c>
      <c r="C4" s="2" t="str">
        <f>Table2[[#This Row],[Servicio]]&amp;" - "&amp;Table2[[#This Row],[Tipo de Equipo]]</f>
        <v>MTTO CORRECTIVO RUTA - BARRIL</v>
      </c>
      <c r="D4" s="2" t="s">
        <v>47</v>
      </c>
    </row>
    <row r="5" spans="1:4">
      <c r="A5" s="2" t="s">
        <v>58</v>
      </c>
      <c r="B5" s="2" t="s">
        <v>69</v>
      </c>
      <c r="C5" s="2" t="str">
        <f>Table2[[#This Row],[Servicio]]&amp;" - "&amp;Table2[[#This Row],[Tipo de Equipo]]</f>
        <v>MTTO CORRECTIVO RUTA - CUARTO FRIO</v>
      </c>
      <c r="D5" s="2" t="s">
        <v>142</v>
      </c>
    </row>
    <row r="6" spans="1:4">
      <c r="A6" s="2" t="s">
        <v>62</v>
      </c>
      <c r="B6" s="2" t="s">
        <v>60</v>
      </c>
      <c r="C6" s="2" t="str">
        <f>Table2[[#This Row],[Servicio]]&amp;" - "&amp;Table2[[#This Row],[Tipo de Equipo]]</f>
        <v>MTTO CORRECTIVO PISO - ENFRIADOR</v>
      </c>
      <c r="D6" s="2" t="s">
        <v>132</v>
      </c>
    </row>
    <row r="7" spans="1:4">
      <c r="A7" s="2" t="s">
        <v>62</v>
      </c>
      <c r="B7" s="2" t="s">
        <v>63</v>
      </c>
      <c r="C7" s="2" t="str">
        <f>Table2[[#This Row],[Servicio]]&amp;" - "&amp;Table2[[#This Row],[Tipo de Equipo]]</f>
        <v>MTTO CORRECTIVO PISO - MAQUINA HIELO</v>
      </c>
      <c r="D7" s="2" t="s">
        <v>128</v>
      </c>
    </row>
    <row r="8" spans="1:4">
      <c r="A8" s="2" t="s">
        <v>62</v>
      </c>
      <c r="B8" s="2" t="s">
        <v>66</v>
      </c>
      <c r="C8" s="2" t="str">
        <f>Table2[[#This Row],[Servicio]]&amp;" - "&amp;Table2[[#This Row],[Tipo de Equipo]]</f>
        <v>MTTO CORRECTIVO PISO - BARRIL</v>
      </c>
      <c r="D8" s="2" t="s">
        <v>47</v>
      </c>
    </row>
    <row r="9" spans="1:4">
      <c r="A9" s="2" t="s">
        <v>65</v>
      </c>
      <c r="B9" s="2" t="s">
        <v>63</v>
      </c>
      <c r="C9" s="2" t="str">
        <f>Table2[[#This Row],[Servicio]]&amp;" - "&amp;Table2[[#This Row],[Tipo de Equipo]]</f>
        <v>MTTO PREVENTIVO RUTA - MAQUINA HIELO</v>
      </c>
      <c r="D9" s="2" t="s">
        <v>128</v>
      </c>
    </row>
    <row r="10" spans="1:4">
      <c r="A10" s="2" t="s">
        <v>65</v>
      </c>
      <c r="B10" s="2" t="s">
        <v>66</v>
      </c>
      <c r="C10" s="2" t="str">
        <f>Table2[[#This Row],[Servicio]]&amp;" - "&amp;Table2[[#This Row],[Tipo de Equipo]]</f>
        <v>MTTO PREVENTIVO RUTA - BARRIL</v>
      </c>
      <c r="D10" s="2" t="s">
        <v>47</v>
      </c>
    </row>
    <row r="11" spans="1:4">
      <c r="A11" s="2" t="s">
        <v>65</v>
      </c>
      <c r="B11" s="2" t="s">
        <v>69</v>
      </c>
      <c r="C11" s="2" t="str">
        <f>Table2[[#This Row],[Servicio]]&amp;" - "&amp;Table2[[#This Row],[Tipo de Equipo]]</f>
        <v>MTTO PREVENTIVO RUTA - CUARTO FRIO</v>
      </c>
      <c r="D11" s="2" t="s">
        <v>142</v>
      </c>
    </row>
    <row r="12" spans="1:4">
      <c r="A12" s="2" t="s">
        <v>68</v>
      </c>
      <c r="B12" s="2" t="s">
        <v>60</v>
      </c>
      <c r="C12" s="2" t="str">
        <f>Table2[[#This Row],[Servicio]]&amp;" - "&amp;Table2[[#This Row],[Tipo de Equipo]]</f>
        <v>INSTALACION - ENFRIADOR</v>
      </c>
      <c r="D12" s="2" t="s">
        <v>45</v>
      </c>
    </row>
    <row r="13" spans="1:4">
      <c r="A13" s="2" t="s">
        <v>68</v>
      </c>
      <c r="B13" s="2" t="s">
        <v>63</v>
      </c>
      <c r="C13" s="2" t="str">
        <f>Table2[[#This Row],[Servicio]]&amp;" - "&amp;Table2[[#This Row],[Tipo de Equipo]]</f>
        <v>INSTALACION - MAQUINA HIELO</v>
      </c>
      <c r="D13" s="2" t="s">
        <v>45</v>
      </c>
    </row>
    <row r="14" spans="1:4">
      <c r="A14" s="2" t="s">
        <v>68</v>
      </c>
      <c r="B14" s="2" t="s">
        <v>66</v>
      </c>
      <c r="C14" s="2" t="str">
        <f>Table2[[#This Row],[Servicio]]&amp;" - "&amp;Table2[[#This Row],[Tipo de Equipo]]</f>
        <v>INSTALACION - BARRIL</v>
      </c>
      <c r="D14" s="2" t="s">
        <v>45</v>
      </c>
    </row>
    <row r="15" spans="1:4">
      <c r="A15" s="33" t="s">
        <v>68</v>
      </c>
      <c r="B15" s="33" t="s">
        <v>69</v>
      </c>
      <c r="C15" s="33" t="str">
        <f>Table2[[#This Row],[Servicio]]&amp;" - "&amp;Table2[[#This Row],[Tipo de Equipo]]</f>
        <v>INSTALACION - CUARTO FRIO</v>
      </c>
      <c r="D15" s="2" t="s">
        <v>45</v>
      </c>
    </row>
    <row r="16" spans="1:4">
      <c r="A16" s="2" t="s">
        <v>71</v>
      </c>
      <c r="B16" s="2" t="s">
        <v>60</v>
      </c>
      <c r="C16" s="2" t="str">
        <f>Table2[[#This Row],[Servicio]]&amp;" - "&amp;Table2[[#This Row],[Tipo de Equipo]]</f>
        <v>RETIRO - ENFRIADOR</v>
      </c>
      <c r="D16" s="2" t="s">
        <v>45</v>
      </c>
    </row>
    <row r="17" spans="1:4">
      <c r="A17" s="2" t="s">
        <v>71</v>
      </c>
      <c r="B17" s="2" t="s">
        <v>63</v>
      </c>
      <c r="C17" s="2" t="str">
        <f>Table2[[#This Row],[Servicio]]&amp;" - "&amp;Table2[[#This Row],[Tipo de Equipo]]</f>
        <v>RETIRO - MAQUINA HIELO</v>
      </c>
      <c r="D17" s="2" t="s">
        <v>45</v>
      </c>
    </row>
    <row r="18" spans="1:4">
      <c r="A18" s="2" t="s">
        <v>71</v>
      </c>
      <c r="B18" s="2" t="s">
        <v>66</v>
      </c>
      <c r="C18" s="2" t="str">
        <f>Table2[[#This Row],[Servicio]]&amp;" - "&amp;Table2[[#This Row],[Tipo de Equipo]]</f>
        <v>RETIRO - BARRIL</v>
      </c>
      <c r="D18" s="2" t="s">
        <v>45</v>
      </c>
    </row>
    <row r="19" spans="1:4">
      <c r="A19" s="2" t="s">
        <v>71</v>
      </c>
      <c r="B19" s="2" t="s">
        <v>69</v>
      </c>
      <c r="C19" s="2" t="str">
        <f>Table2[[#This Row],[Servicio]]&amp;" - "&amp;Table2[[#This Row],[Tipo de Equipo]]</f>
        <v>RETIRO - CUARTO FRIO</v>
      </c>
      <c r="D19" s="2" t="s">
        <v>45</v>
      </c>
    </row>
    <row r="20" spans="1:4">
      <c r="A20" s="2" t="s">
        <v>87</v>
      </c>
      <c r="B20" s="2" t="s">
        <v>66</v>
      </c>
      <c r="C20" s="2" t="str">
        <f>Table2[[#This Row],[Servicio]]&amp;" - "&amp;Table2[[#This Row],[Tipo de Equipo]]</f>
        <v>RECARGA CO2 - BARRIL</v>
      </c>
      <c r="D20" s="2" t="s">
        <v>47</v>
      </c>
    </row>
    <row r="21" spans="1:4">
      <c r="A21" s="2" t="s">
        <v>89</v>
      </c>
      <c r="B21" s="2" t="s">
        <v>60</v>
      </c>
      <c r="C21" s="2" t="str">
        <f>Table2[[#This Row],[Servicio]]&amp;" - "&amp;Table2[[#This Row],[Tipo de Equipo]]</f>
        <v>PRIMERA POSICION - ENFRIADOR</v>
      </c>
      <c r="D21" s="2" t="s">
        <v>45</v>
      </c>
    </row>
    <row r="22" spans="1:4">
      <c r="A22" s="2" t="s">
        <v>91</v>
      </c>
      <c r="B22" s="2" t="s">
        <v>60</v>
      </c>
      <c r="C22" s="2" t="str">
        <f>Table2[[#This Row],[Servicio]]&amp;" - "&amp;Table2[[#This Row],[Tipo de Equipo]]</f>
        <v>SERVICIO EXPRESS PISO - ENFRIADOR</v>
      </c>
      <c r="D22" s="2" t="s">
        <v>132</v>
      </c>
    </row>
    <row r="23" spans="1:4">
      <c r="A23" s="2" t="s">
        <v>301</v>
      </c>
      <c r="B23" s="2" t="s">
        <v>60</v>
      </c>
      <c r="C23" s="2" t="str">
        <f>Table2[[#This Row],[Servicio]]&amp;" - "&amp;Table2[[#This Row],[Tipo de Equipo]]</f>
        <v>FLETE MOV GZ A GZ - ENFRIADOR</v>
      </c>
      <c r="D23" s="2" t="s">
        <v>50</v>
      </c>
    </row>
    <row r="24" spans="1:4">
      <c r="A24" s="2" t="s">
        <v>301</v>
      </c>
      <c r="B24" s="2" t="s">
        <v>63</v>
      </c>
      <c r="C24" s="2" t="str">
        <f>Table2[[#This Row],[Servicio]]&amp;" - "&amp;Table2[[#This Row],[Tipo de Equipo]]</f>
        <v>FLETE MOV GZ  A GZ - MAQUINA HIELO</v>
      </c>
      <c r="D24" s="2" t="s">
        <v>50</v>
      </c>
    </row>
    <row r="25" spans="1:4">
      <c r="A25" s="2" t="s">
        <v>301</v>
      </c>
      <c r="B25" s="2" t="s">
        <v>66</v>
      </c>
      <c r="C25" s="2" t="str">
        <f>Table2[[#This Row],[Servicio]]&amp;" - "&amp;Table2[[#This Row],[Tipo de Equipo]]</f>
        <v>FLETE MOV GZ A GZ - BARRIL</v>
      </c>
      <c r="D25" s="2" t="s">
        <v>50</v>
      </c>
    </row>
    <row r="26" spans="1:4">
      <c r="A26" s="2" t="s">
        <v>301</v>
      </c>
      <c r="B26" s="2" t="s">
        <v>97</v>
      </c>
      <c r="C26" s="2" t="str">
        <f>Table2[[#This Row],[Servicio]]&amp;" - "&amp;Table2[[#This Row],[Tipo de Equipo]]</f>
        <v>FLETE MOV GZ A GZ - MOBILIARIO</v>
      </c>
      <c r="D26" s="2" t="s">
        <v>50</v>
      </c>
    </row>
    <row r="27" spans="1:4">
      <c r="A27" s="2" t="s">
        <v>301</v>
      </c>
      <c r="B27" s="2" t="s">
        <v>99</v>
      </c>
      <c r="C27" s="2" t="str">
        <f>Table2[[#This Row],[Servicio]]&amp;" - "&amp;Table2[[#This Row],[Tipo de Equipo]]</f>
        <v>FLETE MOV GZ A GZ - VISIBILIDAD</v>
      </c>
      <c r="D27" s="2" t="s">
        <v>50</v>
      </c>
    </row>
    <row r="28" spans="1:4">
      <c r="A28" s="2" t="s">
        <v>103</v>
      </c>
      <c r="B28" s="2" t="s">
        <v>104</v>
      </c>
      <c r="C28" s="2" t="str">
        <f>Table2[[#This Row],[Servicio]]&amp;" - "&amp;Table2[[#This Row],[Tipo de Equipo]]</f>
        <v>FLETE MOV CEDIS A CEDIS - ENFRIADOR</v>
      </c>
      <c r="D28" s="2" t="s">
        <v>103</v>
      </c>
    </row>
    <row r="29" spans="1:4">
      <c r="A29" s="2" t="s">
        <v>106</v>
      </c>
      <c r="B29" s="2" t="s">
        <v>60</v>
      </c>
      <c r="C29" s="2" t="str">
        <f>Table2[[#This Row],[Servicio]]&amp;" - "&amp;Table2[[#This Row],[Tipo de Equipo]]</f>
        <v>FLETE MOV CEDIS A CEDIS - MAQUINA HIELO</v>
      </c>
      <c r="D29" s="2" t="s">
        <v>132</v>
      </c>
    </row>
    <row r="30" spans="1:4">
      <c r="A30" s="2" t="s">
        <v>106</v>
      </c>
      <c r="B30" s="2" t="s">
        <v>63</v>
      </c>
      <c r="C30" s="2" t="str">
        <f>Table2[[#This Row],[Servicio]]&amp;" - "&amp;Table2[[#This Row],[Tipo de Equipo]]</f>
        <v>FLETE MOV CEDIS A CEDIS - BARRIL</v>
      </c>
      <c r="D30" s="2" t="s">
        <v>128</v>
      </c>
    </row>
    <row r="31" spans="1:4">
      <c r="A31" s="2" t="s">
        <v>106</v>
      </c>
      <c r="B31" s="2" t="s">
        <v>66</v>
      </c>
      <c r="C31" s="2" t="str">
        <f>Table2[[#This Row],[Servicio]]&amp;" - "&amp;Table2[[#This Row],[Tipo de Equipo]]</f>
        <v>FLETE MOV CEDIS A CEDIS - MOBILIARIO</v>
      </c>
      <c r="D31" s="2" t="s">
        <v>47</v>
      </c>
    </row>
    <row r="32" spans="1:4">
      <c r="A32" s="2" t="s">
        <v>106</v>
      </c>
      <c r="B32" s="2" t="s">
        <v>69</v>
      </c>
      <c r="C32" s="2" t="str">
        <f>Table2[[#This Row],[Servicio]]&amp;" - "&amp;Table2[[#This Row],[Tipo de Equipo]]</f>
        <v>FLETE MOV CEDIS A CEDIS - VISIBILIDAD</v>
      </c>
      <c r="D32" s="2" t="s">
        <v>142</v>
      </c>
    </row>
    <row r="33" spans="1:4">
      <c r="A33" s="2" t="s">
        <v>107</v>
      </c>
      <c r="B33" s="2" t="s">
        <v>66</v>
      </c>
      <c r="C33" s="2" t="str">
        <f>Table2[[#This Row],[Servicio]]&amp;" - "&amp;Table2[[#This Row],[Tipo de Equipo]]</f>
        <v>DOOR TO DOOR - ALMACENAMIENTO</v>
      </c>
      <c r="D33" s="2" t="s">
        <v>126</v>
      </c>
    </row>
    <row r="34" spans="1:4">
      <c r="A34" s="2" t="s">
        <v>108</v>
      </c>
      <c r="B34" s="2" t="s">
        <v>60</v>
      </c>
      <c r="C34" s="2" t="str">
        <f>Table2[[#This Row],[Servicio]]&amp;" - "&amp;Table2[[#This Row],[Tipo de Equipo]]</f>
        <v>REFACCIONES - ENFRIADOR</v>
      </c>
      <c r="D34" t="s">
        <v>289</v>
      </c>
    </row>
    <row r="35" spans="1:4">
      <c r="A35" s="2" t="s">
        <v>109</v>
      </c>
      <c r="B35" s="2" t="s">
        <v>97</v>
      </c>
      <c r="C35" s="2" t="str">
        <f>Table2[[#This Row],[Servicio]]&amp;" - "&amp;Table2[[#This Row],[Tipo de Equipo]]</f>
        <v>REFACCIONES - MAQUINA HIELO</v>
      </c>
      <c r="D35" t="s">
        <v>289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767A9126A6945927CF756594334FF" ma:contentTypeVersion="21" ma:contentTypeDescription="Create a new document." ma:contentTypeScope="" ma:versionID="965b0b35a90231c5c698eb93eab19a6b">
  <xsd:schema xmlns:xsd="http://www.w3.org/2001/XMLSchema" xmlns:xs="http://www.w3.org/2001/XMLSchema" xmlns:p="http://schemas.microsoft.com/office/2006/metadata/properties" xmlns:ns2="7cc3f8a6-03b3-4dd7-bac4-24398da57e97" xmlns:ns3="2cd01bc1-0fdf-4b56-884c-59d4a1553092" targetNamespace="http://schemas.microsoft.com/office/2006/metadata/properties" ma:root="true" ma:fieldsID="f44b3a51b66c8fc16e7db1b0704868da" ns2:_="" ns3:_="">
    <xsd:import namespace="7cc3f8a6-03b3-4dd7-bac4-24398da57e97"/>
    <xsd:import namespace="2cd01bc1-0fdf-4b56-884c-59d4a15530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GZ" minOccurs="0"/>
                <xsd:element ref="ns2:iazj" minOccurs="0"/>
                <xsd:element ref="ns2:j4nc" minOccurs="0"/>
                <xsd:element ref="ns2:d2xe" minOccurs="0"/>
                <xsd:element ref="ns2:eu0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c3f8a6-03b3-4dd7-bac4-24398da57e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GZ" ma:index="13" nillable="true" ma:displayName="GZ" ma:format="Dropdown" ma:internalName="GZ">
      <xsd:simpleType>
        <xsd:restriction base="dms:Text">
          <xsd:maxLength value="255"/>
        </xsd:restriction>
      </xsd:simpleType>
    </xsd:element>
    <xsd:element name="iazj" ma:index="14" nillable="true" ma:displayName="Texto" ma:internalName="iazj">
      <xsd:simpleType>
        <xsd:restriction base="dms:Text"/>
      </xsd:simpleType>
    </xsd:element>
    <xsd:element name="j4nc" ma:index="15" nillable="true" ma:displayName="Texto" ma:internalName="j4nc">
      <xsd:simpleType>
        <xsd:restriction base="dms:Text"/>
      </xsd:simpleType>
    </xsd:element>
    <xsd:element name="d2xe" ma:index="16" nillable="true" ma:displayName="Texto" ma:internalName="d2xe">
      <xsd:simpleType>
        <xsd:restriction base="dms:Text"/>
      </xsd:simpleType>
    </xsd:element>
    <xsd:element name="eu0s" ma:index="17" nillable="true" ma:displayName="Texto" ma:internalName="eu0s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9aa43d79-0337-43fd-9094-582e52f079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01bc1-0fdf-4b56-884c-59d4a155309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9c6cd28-257c-4876-802b-2297ae6ed887}" ma:internalName="TaxCatchAll" ma:showField="CatchAllData" ma:web="2cd01bc1-0fdf-4b56-884c-59d4a15530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2xe xmlns="7cc3f8a6-03b3-4dd7-bac4-24398da57e97" xsi:nil="true"/>
    <eu0s xmlns="7cc3f8a6-03b3-4dd7-bac4-24398da57e97" xsi:nil="true"/>
    <j4nc xmlns="7cc3f8a6-03b3-4dd7-bac4-24398da57e97" xsi:nil="true"/>
    <iazj xmlns="7cc3f8a6-03b3-4dd7-bac4-24398da57e97" xsi:nil="true"/>
    <lcf76f155ced4ddcb4097134ff3c332f xmlns="7cc3f8a6-03b3-4dd7-bac4-24398da57e97">
      <Terms xmlns="http://schemas.microsoft.com/office/infopath/2007/PartnerControls"/>
    </lcf76f155ced4ddcb4097134ff3c332f>
    <TaxCatchAll xmlns="2cd01bc1-0fdf-4b56-884c-59d4a1553092" xsi:nil="true"/>
    <GZ xmlns="7cc3f8a6-03b3-4dd7-bac4-24398da57e97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0D4F8D-82C6-4280-B31F-BCDEA924CC15}"/>
</file>

<file path=customXml/itemProps2.xml><?xml version="1.0" encoding="utf-8"?>
<ds:datastoreItem xmlns:ds="http://schemas.openxmlformats.org/officeDocument/2006/customXml" ds:itemID="{0B9A6C43-6AB5-4B3B-872E-BDBB6F7A5F89}"/>
</file>

<file path=customXml/itemProps3.xml><?xml version="1.0" encoding="utf-8"?>
<ds:datastoreItem xmlns:ds="http://schemas.openxmlformats.org/officeDocument/2006/customXml" ds:itemID="{D7DBB82D-A8C3-455A-950D-BC40F2F62FB4}"/>
</file>

<file path=customXml/itemProps4.xml><?xml version="1.0" encoding="utf-8"?>
<ds:datastoreItem xmlns:ds="http://schemas.openxmlformats.org/officeDocument/2006/customXml" ds:itemID="{7899F4FD-ADE8-4825-AC79-E91C2C30EE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HEINEKEN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Angel Veliz Gonzalez</dc:creator>
  <cp:keywords/>
  <dc:description/>
  <cp:lastModifiedBy/>
  <cp:revision/>
  <dcterms:created xsi:type="dcterms:W3CDTF">2019-02-05T18:14:41Z</dcterms:created>
  <dcterms:modified xsi:type="dcterms:W3CDTF">2026-09-10T20:58:33Z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0x010100BA8767A9126A6945927CF756594334FF</vt:lpwstr>
  </property>
  <property fmtid="{D5CDD505-2E9C-101B-9397-08002B2CF9AE}" pid="3" name="MediaServiceImageTags">
    <vt:lpwstr/>
  </property>
</Properties>
</file>